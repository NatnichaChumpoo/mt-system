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r\MT\"/>
    </mc:Choice>
  </mc:AlternateContent>
  <xr:revisionPtr revIDLastSave="0" documentId="8_{07256225-F611-4B48-8C3F-DD4643D02C21}" xr6:coauthVersionLast="47" xr6:coauthVersionMax="47" xr10:uidLastSave="{00000000-0000-0000-0000-000000000000}"/>
  <bookViews>
    <workbookView xWindow="-108" yWindow="-108" windowWidth="23256" windowHeight="13896" tabRatio="775" xr2:uid="{00000000-000D-0000-FFFF-FFFF00000000}"/>
  </bookViews>
  <sheets>
    <sheet name="Executive Dashboard" sheetId="1" r:id="rId1"/>
    <sheet name="Master Data" sheetId="2" r:id="rId2"/>
    <sheet name="Stock In Log" sheetId="3" r:id="rId3"/>
    <sheet name="Stock Out Log" sheetId="4" r:id="rId4"/>
    <sheet name="Improvement_Recom" sheetId="5" r:id="rId5"/>
    <sheet name="Presentation_Guide" sheetId="6" r:id="rId6"/>
    <sheet name="Executive_Dashboard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9" i="2" l="1"/>
  <c r="R89" i="2"/>
  <c r="S89" i="2" s="1"/>
  <c r="T88" i="2"/>
  <c r="W88" i="2" s="1"/>
  <c r="R88" i="2"/>
  <c r="S88" i="2" s="1"/>
  <c r="W87" i="2"/>
  <c r="V87" i="2"/>
  <c r="T87" i="2"/>
  <c r="U87" i="2" s="1"/>
  <c r="R87" i="2"/>
  <c r="S87" i="2" s="1"/>
  <c r="W86" i="2"/>
  <c r="T86" i="2"/>
  <c r="V86" i="2" s="1"/>
  <c r="S86" i="2"/>
  <c r="R86" i="2"/>
  <c r="T85" i="2"/>
  <c r="V85" i="2" s="1"/>
  <c r="R85" i="2"/>
  <c r="S85" i="2" s="1"/>
  <c r="T84" i="2"/>
  <c r="W84" i="2" s="1"/>
  <c r="S84" i="2"/>
  <c r="R84" i="2"/>
  <c r="V83" i="2"/>
  <c r="U83" i="2"/>
  <c r="T83" i="2"/>
  <c r="W83" i="2" s="1"/>
  <c r="R83" i="2"/>
  <c r="S83" i="2" s="1"/>
  <c r="T82" i="2"/>
  <c r="R82" i="2"/>
  <c r="S82" i="2" s="1"/>
  <c r="T81" i="2"/>
  <c r="V81" i="2" s="1"/>
  <c r="S81" i="2"/>
  <c r="R81" i="2"/>
  <c r="W80" i="2"/>
  <c r="V80" i="2"/>
  <c r="T80" i="2"/>
  <c r="U80" i="2" s="1"/>
  <c r="R80" i="2"/>
  <c r="S80" i="2" s="1"/>
  <c r="T79" i="2"/>
  <c r="V79" i="2" s="1"/>
  <c r="R79" i="2"/>
  <c r="S79" i="2" s="1"/>
  <c r="W78" i="2"/>
  <c r="V78" i="2"/>
  <c r="T78" i="2"/>
  <c r="U78" i="2" s="1"/>
  <c r="R78" i="2"/>
  <c r="S78" i="2" s="1"/>
  <c r="V77" i="2"/>
  <c r="T77" i="2"/>
  <c r="W77" i="2" s="1"/>
  <c r="R77" i="2"/>
  <c r="S77" i="2" s="1"/>
  <c r="T76" i="2"/>
  <c r="W76" i="2" s="1"/>
  <c r="R76" i="2"/>
  <c r="S76" i="2" s="1"/>
  <c r="T75" i="2"/>
  <c r="R75" i="2"/>
  <c r="S75" i="2" s="1"/>
  <c r="T74" i="2"/>
  <c r="W74" i="2" s="1"/>
  <c r="R74" i="2"/>
  <c r="S74" i="2" s="1"/>
  <c r="W73" i="2"/>
  <c r="V73" i="2"/>
  <c r="T73" i="2"/>
  <c r="U73" i="2" s="1"/>
  <c r="R73" i="2"/>
  <c r="S73" i="2" s="1"/>
  <c r="W72" i="2"/>
  <c r="T72" i="2"/>
  <c r="V72" i="2" s="1"/>
  <c r="S72" i="2"/>
  <c r="R72" i="2"/>
  <c r="T71" i="2"/>
  <c r="V71" i="2" s="1"/>
  <c r="R71" i="2"/>
  <c r="S71" i="2" s="1"/>
  <c r="T70" i="2"/>
  <c r="W70" i="2" s="1"/>
  <c r="S70" i="2"/>
  <c r="R70" i="2"/>
  <c r="V69" i="2"/>
  <c r="U69" i="2"/>
  <c r="T69" i="2"/>
  <c r="W69" i="2" s="1"/>
  <c r="R69" i="2"/>
  <c r="S69" i="2" s="1"/>
  <c r="T68" i="2"/>
  <c r="R68" i="2"/>
  <c r="S68" i="2" s="1"/>
  <c r="T67" i="2"/>
  <c r="W67" i="2" s="1"/>
  <c r="R67" i="2"/>
  <c r="S67" i="2" s="1"/>
  <c r="V66" i="2"/>
  <c r="T66" i="2"/>
  <c r="U66" i="2" s="1"/>
  <c r="R66" i="2"/>
  <c r="S66" i="2" s="1"/>
  <c r="W66" i="2" s="1"/>
  <c r="T65" i="2"/>
  <c r="W65" i="2" s="1"/>
  <c r="R65" i="2"/>
  <c r="S65" i="2" s="1"/>
  <c r="W64" i="2"/>
  <c r="V64" i="2"/>
  <c r="T64" i="2"/>
  <c r="U64" i="2" s="1"/>
  <c r="R64" i="2"/>
  <c r="S64" i="2" s="1"/>
  <c r="V63" i="2"/>
  <c r="T63" i="2"/>
  <c r="W63" i="2" s="1"/>
  <c r="R63" i="2"/>
  <c r="S63" i="2" s="1"/>
  <c r="T62" i="2"/>
  <c r="W62" i="2" s="1"/>
  <c r="R62" i="2"/>
  <c r="S62" i="2" s="1"/>
  <c r="T61" i="2"/>
  <c r="R61" i="2"/>
  <c r="S61" i="2" s="1"/>
  <c r="T60" i="2"/>
  <c r="R60" i="2"/>
  <c r="S60" i="2" s="1"/>
  <c r="T59" i="2"/>
  <c r="U59" i="2" s="1"/>
  <c r="R59" i="2"/>
  <c r="S59" i="2" s="1"/>
  <c r="V59" i="2" s="1"/>
  <c r="W58" i="2"/>
  <c r="T58" i="2"/>
  <c r="V58" i="2" s="1"/>
  <c r="S58" i="2"/>
  <c r="R58" i="2"/>
  <c r="T57" i="2"/>
  <c r="U57" i="2" s="1"/>
  <c r="R57" i="2"/>
  <c r="S57" i="2" s="1"/>
  <c r="T56" i="2"/>
  <c r="W56" i="2" s="1"/>
  <c r="S56" i="2"/>
  <c r="R56" i="2"/>
  <c r="V55" i="2"/>
  <c r="U55" i="2"/>
  <c r="T55" i="2"/>
  <c r="W55" i="2" s="1"/>
  <c r="R55" i="2"/>
  <c r="S55" i="2" s="1"/>
  <c r="T54" i="2"/>
  <c r="R54" i="2"/>
  <c r="S54" i="2" s="1"/>
  <c r="T53" i="2"/>
  <c r="V53" i="2" s="1"/>
  <c r="R53" i="2"/>
  <c r="S53" i="2" s="1"/>
  <c r="W52" i="2"/>
  <c r="V52" i="2"/>
  <c r="T52" i="2"/>
  <c r="U52" i="2" s="1"/>
  <c r="R52" i="2"/>
  <c r="S52" i="2" s="1"/>
  <c r="T51" i="2"/>
  <c r="W51" i="2" s="1"/>
  <c r="R51" i="2"/>
  <c r="S51" i="2" s="1"/>
  <c r="W50" i="2"/>
  <c r="V50" i="2"/>
  <c r="T50" i="2"/>
  <c r="U50" i="2" s="1"/>
  <c r="R50" i="2"/>
  <c r="S50" i="2" s="1"/>
  <c r="V49" i="2"/>
  <c r="T49" i="2"/>
  <c r="W49" i="2" s="1"/>
  <c r="R49" i="2"/>
  <c r="S49" i="2" s="1"/>
  <c r="T48" i="2"/>
  <c r="R48" i="2"/>
  <c r="S48" i="2" s="1"/>
  <c r="T47" i="2"/>
  <c r="R47" i="2"/>
  <c r="S47" i="2" s="1"/>
  <c r="T46" i="2"/>
  <c r="W46" i="2" s="1"/>
  <c r="R46" i="2"/>
  <c r="S46" i="2" s="1"/>
  <c r="W45" i="2"/>
  <c r="V45" i="2"/>
  <c r="T45" i="2"/>
  <c r="U45" i="2" s="1"/>
  <c r="R45" i="2"/>
  <c r="S45" i="2" s="1"/>
  <c r="W44" i="2"/>
  <c r="T44" i="2"/>
  <c r="V44" i="2" s="1"/>
  <c r="S44" i="2"/>
  <c r="R44" i="2"/>
  <c r="T43" i="2"/>
  <c r="V43" i="2" s="1"/>
  <c r="R43" i="2"/>
  <c r="S43" i="2" s="1"/>
  <c r="T42" i="2"/>
  <c r="W42" i="2" s="1"/>
  <c r="S42" i="2"/>
  <c r="R42" i="2"/>
  <c r="V41" i="2"/>
  <c r="U41" i="2"/>
  <c r="T41" i="2"/>
  <c r="W41" i="2" s="1"/>
  <c r="R41" i="2"/>
  <c r="S41" i="2" s="1"/>
  <c r="T40" i="2"/>
  <c r="R40" i="2"/>
  <c r="S40" i="2" s="1"/>
  <c r="T39" i="2"/>
  <c r="V39" i="2" s="1"/>
  <c r="R39" i="2"/>
  <c r="S39" i="2" s="1"/>
  <c r="V38" i="2"/>
  <c r="T38" i="2"/>
  <c r="U38" i="2" s="1"/>
  <c r="R38" i="2"/>
  <c r="S38" i="2" s="1"/>
  <c r="W38" i="2" s="1"/>
  <c r="T37" i="2"/>
  <c r="R37" i="2"/>
  <c r="S37" i="2" s="1"/>
  <c r="W36" i="2"/>
  <c r="V36" i="2"/>
  <c r="T36" i="2"/>
  <c r="U36" i="2" s="1"/>
  <c r="R36" i="2"/>
  <c r="S36" i="2" s="1"/>
  <c r="V35" i="2"/>
  <c r="T35" i="2"/>
  <c r="W35" i="2" s="1"/>
  <c r="R35" i="2"/>
  <c r="S35" i="2" s="1"/>
  <c r="T34" i="2"/>
  <c r="V34" i="2" s="1"/>
  <c r="R34" i="2"/>
  <c r="S34" i="2" s="1"/>
  <c r="T33" i="2"/>
  <c r="R33" i="2"/>
  <c r="S33" i="2" s="1"/>
  <c r="T32" i="2"/>
  <c r="W32" i="2" s="1"/>
  <c r="R32" i="2"/>
  <c r="S32" i="2" s="1"/>
  <c r="W31" i="2"/>
  <c r="V31" i="2"/>
  <c r="T31" i="2"/>
  <c r="U31" i="2" s="1"/>
  <c r="R31" i="2"/>
  <c r="S31" i="2" s="1"/>
  <c r="W30" i="2"/>
  <c r="T30" i="2"/>
  <c r="V30" i="2" s="1"/>
  <c r="S30" i="2"/>
  <c r="R30" i="2"/>
  <c r="T29" i="2"/>
  <c r="V29" i="2" s="1"/>
  <c r="R29" i="2"/>
  <c r="S29" i="2" s="1"/>
  <c r="T28" i="2"/>
  <c r="W28" i="2" s="1"/>
  <c r="S28" i="2"/>
  <c r="R28" i="2"/>
  <c r="U27" i="2"/>
  <c r="T27" i="2"/>
  <c r="R27" i="2"/>
  <c r="S27" i="2" s="1"/>
  <c r="V27" i="2" s="1"/>
  <c r="T26" i="2"/>
  <c r="R26" i="2"/>
  <c r="S26" i="2" s="1"/>
  <c r="T25" i="2"/>
  <c r="R25" i="2"/>
  <c r="S25" i="2" s="1"/>
  <c r="V24" i="2"/>
  <c r="T24" i="2"/>
  <c r="U24" i="2" s="1"/>
  <c r="R24" i="2"/>
  <c r="S24" i="2" s="1"/>
  <c r="W24" i="2" s="1"/>
  <c r="T23" i="2"/>
  <c r="R23" i="2"/>
  <c r="S23" i="2" s="1"/>
  <c r="W22" i="2"/>
  <c r="V22" i="2"/>
  <c r="T22" i="2"/>
  <c r="U22" i="2" s="1"/>
  <c r="R22" i="2"/>
  <c r="S22" i="2" s="1"/>
  <c r="T21" i="2"/>
  <c r="W21" i="2" s="1"/>
  <c r="R21" i="2"/>
  <c r="S21" i="2" s="1"/>
  <c r="T20" i="2"/>
  <c r="W20" i="2" s="1"/>
  <c r="R20" i="2"/>
  <c r="S20" i="2" s="1"/>
  <c r="T19" i="2"/>
  <c r="R19" i="2"/>
  <c r="S19" i="2" s="1"/>
  <c r="T18" i="2"/>
  <c r="U18" i="2" s="1"/>
  <c r="R18" i="2"/>
  <c r="S18" i="2" s="1"/>
  <c r="W17" i="2"/>
  <c r="V17" i="2"/>
  <c r="T17" i="2"/>
  <c r="U17" i="2" s="1"/>
  <c r="R17" i="2"/>
  <c r="S17" i="2" s="1"/>
  <c r="W16" i="2"/>
  <c r="T16" i="2"/>
  <c r="V16" i="2" s="1"/>
  <c r="S16" i="2"/>
  <c r="R16" i="2"/>
  <c r="T15" i="2"/>
  <c r="W15" i="2" s="1"/>
  <c r="I38" i="1" s="1"/>
  <c r="R15" i="2"/>
  <c r="S15" i="2" s="1"/>
  <c r="T14" i="2"/>
  <c r="W14" i="2" s="1"/>
  <c r="I37" i="1" s="1"/>
  <c r="S14" i="2"/>
  <c r="G37" i="1" s="1"/>
  <c r="R14" i="2"/>
  <c r="V13" i="2"/>
  <c r="U13" i="2"/>
  <c r="T13" i="2"/>
  <c r="H36" i="1" s="1"/>
  <c r="R13" i="2"/>
  <c r="S13" i="2" s="1"/>
  <c r="G36" i="1" s="1"/>
  <c r="T12" i="2"/>
  <c r="H35" i="1" s="1"/>
  <c r="R12" i="2"/>
  <c r="S12" i="2" s="1"/>
  <c r="G35" i="1" s="1"/>
  <c r="T11" i="2"/>
  <c r="W11" i="2" s="1"/>
  <c r="I34" i="1" s="1"/>
  <c r="R11" i="2"/>
  <c r="S11" i="2" s="1"/>
  <c r="G34" i="1" s="1"/>
  <c r="W10" i="2"/>
  <c r="I33" i="1" s="1"/>
  <c r="V10" i="2"/>
  <c r="T10" i="2"/>
  <c r="U10" i="2" s="1"/>
  <c r="R10" i="2"/>
  <c r="S10" i="2" s="1"/>
  <c r="T9" i="2"/>
  <c r="V9" i="2" s="1"/>
  <c r="R9" i="2"/>
  <c r="S9" i="2" s="1"/>
  <c r="G32" i="1" s="1"/>
  <c r="W8" i="2"/>
  <c r="I31" i="1" s="1"/>
  <c r="V8" i="2"/>
  <c r="T8" i="2"/>
  <c r="U8" i="2" s="1"/>
  <c r="R8" i="2"/>
  <c r="S8" i="2" s="1"/>
  <c r="T7" i="2"/>
  <c r="H30" i="1" s="1"/>
  <c r="R7" i="2"/>
  <c r="S7" i="2" s="1"/>
  <c r="G30" i="1" s="1"/>
  <c r="T6" i="2"/>
  <c r="H29" i="1" s="1"/>
  <c r="S6" i="2"/>
  <c r="G29" i="1" s="1"/>
  <c r="R6" i="2"/>
  <c r="T5" i="2"/>
  <c r="S5" i="2"/>
  <c r="G28" i="1" s="1"/>
  <c r="R5" i="2"/>
  <c r="T4" i="2"/>
  <c r="W4" i="2" s="1"/>
  <c r="I27" i="1" s="1"/>
  <c r="R4" i="2"/>
  <c r="S4" i="2" s="1"/>
  <c r="G27" i="1" s="1"/>
  <c r="W3" i="2"/>
  <c r="I26" i="1" s="1"/>
  <c r="V3" i="2"/>
  <c r="T3" i="2"/>
  <c r="U3" i="2" s="1"/>
  <c r="R3" i="2"/>
  <c r="S3" i="2" s="1"/>
  <c r="G26" i="1" s="1"/>
  <c r="T2" i="2"/>
  <c r="W2" i="2" s="1"/>
  <c r="R2" i="2"/>
  <c r="S2" i="2" s="1"/>
  <c r="G25" i="1" s="1"/>
  <c r="J38" i="1"/>
  <c r="H38" i="1"/>
  <c r="G38" i="1"/>
  <c r="F38" i="1"/>
  <c r="E38" i="1"/>
  <c r="D38" i="1"/>
  <c r="C38" i="1"/>
  <c r="J37" i="1"/>
  <c r="F37" i="1"/>
  <c r="E37" i="1"/>
  <c r="D37" i="1"/>
  <c r="C37" i="1"/>
  <c r="J36" i="1"/>
  <c r="F36" i="1"/>
  <c r="E36" i="1"/>
  <c r="D36" i="1"/>
  <c r="C36" i="1"/>
  <c r="J35" i="1"/>
  <c r="F35" i="1"/>
  <c r="E35" i="1"/>
  <c r="D35" i="1"/>
  <c r="C35" i="1"/>
  <c r="J34" i="1"/>
  <c r="F34" i="1"/>
  <c r="E34" i="1"/>
  <c r="D34" i="1"/>
  <c r="C34" i="1"/>
  <c r="J33" i="1"/>
  <c r="H33" i="1"/>
  <c r="G33" i="1"/>
  <c r="F33" i="1"/>
  <c r="E33" i="1"/>
  <c r="D33" i="1"/>
  <c r="C33" i="1"/>
  <c r="J32" i="1"/>
  <c r="H32" i="1"/>
  <c r="F32" i="1"/>
  <c r="E32" i="1"/>
  <c r="D32" i="1"/>
  <c r="C32" i="1"/>
  <c r="J31" i="1"/>
  <c r="H31" i="1"/>
  <c r="G31" i="1"/>
  <c r="F31" i="1"/>
  <c r="E31" i="1"/>
  <c r="D31" i="1"/>
  <c r="C31" i="1"/>
  <c r="J30" i="1"/>
  <c r="F30" i="1"/>
  <c r="E30" i="1"/>
  <c r="D30" i="1"/>
  <c r="C30" i="1"/>
  <c r="J29" i="1"/>
  <c r="F29" i="1"/>
  <c r="E29" i="1"/>
  <c r="D29" i="1"/>
  <c r="C29" i="1"/>
  <c r="J28" i="1"/>
  <c r="F28" i="1"/>
  <c r="E28" i="1"/>
  <c r="D28" i="1"/>
  <c r="C28" i="1"/>
  <c r="J27" i="1"/>
  <c r="F27" i="1"/>
  <c r="E27" i="1"/>
  <c r="D27" i="1"/>
  <c r="C27" i="1"/>
  <c r="J26" i="1"/>
  <c r="H26" i="1"/>
  <c r="F26" i="1"/>
  <c r="E26" i="1"/>
  <c r="D26" i="1"/>
  <c r="C26" i="1"/>
  <c r="J25" i="1"/>
  <c r="H25" i="1"/>
  <c r="F25" i="1"/>
  <c r="E25" i="1"/>
  <c r="D25" i="1"/>
  <c r="C25" i="1"/>
  <c r="I9" i="1"/>
  <c r="I8" i="1"/>
  <c r="I7" i="1"/>
  <c r="G6" i="1"/>
  <c r="W27" i="2" l="1"/>
  <c r="I25" i="1"/>
  <c r="W48" i="2"/>
  <c r="W25" i="2"/>
  <c r="D8" i="1" s="1"/>
  <c r="W60" i="2"/>
  <c r="W37" i="2"/>
  <c r="W23" i="2"/>
  <c r="U11" i="2"/>
  <c r="U25" i="2"/>
  <c r="U67" i="2"/>
  <c r="H34" i="1"/>
  <c r="U6" i="2"/>
  <c r="V11" i="2"/>
  <c r="U14" i="2"/>
  <c r="V25" i="2"/>
  <c r="U84" i="2"/>
  <c r="V14" i="2"/>
  <c r="V28" i="2"/>
  <c r="V56" i="2"/>
  <c r="V20" i="2"/>
  <c r="W59" i="2"/>
  <c r="V62" i="2"/>
  <c r="V76" i="2"/>
  <c r="H27" i="1"/>
  <c r="W34" i="2"/>
  <c r="U37" i="2"/>
  <c r="U51" i="2"/>
  <c r="W26" i="2"/>
  <c r="V26" i="2"/>
  <c r="U26" i="2"/>
  <c r="U29" i="2"/>
  <c r="V37" i="2"/>
  <c r="U43" i="2"/>
  <c r="V51" i="2"/>
  <c r="W82" i="2"/>
  <c r="V82" i="2"/>
  <c r="U82" i="2"/>
  <c r="V4" i="2"/>
  <c r="W9" i="2"/>
  <c r="I32" i="1" s="1"/>
  <c r="V57" i="2"/>
  <c r="W29" i="2"/>
  <c r="U32" i="2"/>
  <c r="W43" i="2"/>
  <c r="U46" i="2"/>
  <c r="W57" i="2"/>
  <c r="U60" i="2"/>
  <c r="W71" i="2"/>
  <c r="U74" i="2"/>
  <c r="W85" i="2"/>
  <c r="U88" i="2"/>
  <c r="H37" i="1"/>
  <c r="U2" i="2"/>
  <c r="V7" i="2"/>
  <c r="V18" i="2"/>
  <c r="U21" i="2"/>
  <c r="V32" i="2"/>
  <c r="U35" i="2"/>
  <c r="V46" i="2"/>
  <c r="U49" i="2"/>
  <c r="V60" i="2"/>
  <c r="U63" i="2"/>
  <c r="V74" i="2"/>
  <c r="U77" i="2"/>
  <c r="V88" i="2"/>
  <c r="U39" i="2"/>
  <c r="U28" i="2"/>
  <c r="V67" i="2"/>
  <c r="U70" i="2"/>
  <c r="U20" i="2"/>
  <c r="W39" i="2"/>
  <c r="V42" i="2"/>
  <c r="U48" i="2"/>
  <c r="W53" i="2"/>
  <c r="U62" i="2"/>
  <c r="V70" i="2"/>
  <c r="U76" i="2"/>
  <c r="W81" i="2"/>
  <c r="V48" i="2"/>
  <c r="U23" i="2"/>
  <c r="U79" i="2"/>
  <c r="W12" i="2"/>
  <c r="I35" i="1" s="1"/>
  <c r="V12" i="2"/>
  <c r="U12" i="2"/>
  <c r="E6" i="1" s="1"/>
  <c r="U15" i="2"/>
  <c r="V23" i="2"/>
  <c r="W68" i="2"/>
  <c r="U68" i="2"/>
  <c r="V68" i="2"/>
  <c r="U71" i="2"/>
  <c r="U85" i="2"/>
  <c r="W79" i="2"/>
  <c r="U7" i="2"/>
  <c r="W18" i="2"/>
  <c r="U30" i="2"/>
  <c r="U44" i="2"/>
  <c r="U58" i="2"/>
  <c r="U72" i="2"/>
  <c r="U86" i="2"/>
  <c r="U53" i="2"/>
  <c r="U81" i="2"/>
  <c r="U42" i="2"/>
  <c r="U56" i="2"/>
  <c r="V6" i="2"/>
  <c r="F7" i="1" s="1"/>
  <c r="U34" i="2"/>
  <c r="V84" i="2"/>
  <c r="W6" i="2"/>
  <c r="I29" i="1" s="1"/>
  <c r="U9" i="2"/>
  <c r="U65" i="2"/>
  <c r="U4" i="2"/>
  <c r="W40" i="2"/>
  <c r="V40" i="2"/>
  <c r="U40" i="2"/>
  <c r="W54" i="2"/>
  <c r="V54" i="2"/>
  <c r="U54" i="2"/>
  <c r="V65" i="2"/>
  <c r="V15" i="2"/>
  <c r="V2" i="2"/>
  <c r="W7" i="2"/>
  <c r="I30" i="1" s="1"/>
  <c r="V21" i="2"/>
  <c r="W5" i="2"/>
  <c r="I28" i="1" s="1"/>
  <c r="V5" i="2"/>
  <c r="H28" i="1"/>
  <c r="U5" i="2"/>
  <c r="W13" i="2"/>
  <c r="I36" i="1" s="1"/>
  <c r="U16" i="2"/>
  <c r="W19" i="2"/>
  <c r="D6" i="1" s="1"/>
  <c r="U19" i="2"/>
  <c r="V19" i="2"/>
  <c r="W33" i="2"/>
  <c r="U33" i="2"/>
  <c r="V33" i="2"/>
  <c r="W47" i="2"/>
  <c r="U47" i="2"/>
  <c r="V47" i="2"/>
  <c r="W61" i="2"/>
  <c r="V61" i="2"/>
  <c r="U61" i="2"/>
  <c r="W75" i="2"/>
  <c r="U75" i="2"/>
  <c r="V75" i="2"/>
  <c r="W89" i="2"/>
  <c r="U89" i="2"/>
  <c r="V89" i="2"/>
  <c r="D7" i="1" l="1"/>
  <c r="D9" i="1" s="1"/>
  <c r="E7" i="1"/>
  <c r="E9" i="1" s="1"/>
  <c r="E8" i="1"/>
  <c r="F6" i="1"/>
  <c r="F9" i="1" s="1"/>
  <c r="F8" i="1"/>
  <c r="G7" i="1"/>
</calcChain>
</file>

<file path=xl/sharedStrings.xml><?xml version="1.0" encoding="utf-8"?>
<sst xmlns="http://schemas.openxmlformats.org/spreadsheetml/2006/main" count="1939" uniqueCount="491">
  <si>
    <t>🛠️ Machine Spare Part Strategic Control Dashboard</t>
  </si>
  <si>
    <t>MC Group</t>
  </si>
  <si>
    <t>Risk Zone</t>
  </si>
  <si>
    <t>Items Count</t>
  </si>
  <si>
    <t>Inventory Value (THB)</t>
  </si>
  <si>
    <t>Reorder Items</t>
  </si>
  <si>
    <t>📊 สรุปจำนวนชิ้นส่วนแยกตามระดับความสำคัญ (Machine Criticality)</t>
  </si>
  <si>
    <t>Forming</t>
  </si>
  <si>
    <t>🔴 วิกฤต! (ของหมด)</t>
  </si>
  <si>
    <t>Criticality Score</t>
  </si>
  <si>
    <t>จำนวนอะไหล่ (รายการ)</t>
  </si>
  <si>
    <t>🟡 ควรสั่งซื้อ (ต่ำกว่า ROP)</t>
  </si>
  <si>
    <t>🟢 ปกติ</t>
  </si>
  <si>
    <t>Total</t>
  </si>
  <si>
    <t>⚠️ รายการแจ้งเตือนชิ้นส่วนวิกฤตต่ำกว่า ROP และจุดสั่งซื้อที่ต้องดำเนินการทันที</t>
  </si>
  <si>
    <t>Part Code</t>
  </si>
  <si>
    <t>Part Name</t>
  </si>
  <si>
    <t>Min Stock</t>
  </si>
  <si>
    <t>ROP</t>
  </si>
  <si>
    <t>Current Stock</t>
  </si>
  <si>
    <t>Status Alert</t>
  </si>
  <si>
    <t>Item</t>
  </si>
  <si>
    <t>MC Type</t>
  </si>
  <si>
    <t>MC Code</t>
  </si>
  <si>
    <t>Machine Name</t>
  </si>
  <si>
    <t>MC Common</t>
  </si>
  <si>
    <t>Location Use</t>
  </si>
  <si>
    <t>Machine Rank</t>
  </si>
  <si>
    <t>Brand/Maker</t>
  </si>
  <si>
    <t>Part Rank</t>
  </si>
  <si>
    <t>Unit</t>
  </si>
  <si>
    <t>Price Unit (Baht)</t>
  </si>
  <si>
    <t>Keeping Area</t>
  </si>
  <si>
    <t>Max Stock</t>
  </si>
  <si>
    <t>Safety Stock (Formula)</t>
  </si>
  <si>
    <t>ROP (Reorder Point)</t>
  </si>
  <si>
    <t>Amount (Baht)</t>
  </si>
  <si>
    <t>Machine Criticality Score</t>
  </si>
  <si>
    <t>Owner (Responsibility)</t>
  </si>
  <si>
    <t>Lead Time (Days)</t>
  </si>
  <si>
    <t>Location Order</t>
  </si>
  <si>
    <t>Remark</t>
  </si>
  <si>
    <t>Vacuum</t>
  </si>
  <si>
    <t>C16</t>
  </si>
  <si>
    <t>200 Ton</t>
  </si>
  <si>
    <t>All</t>
  </si>
  <si>
    <t>Main Hyd.</t>
  </si>
  <si>
    <t>PT-01</t>
  </si>
  <si>
    <t>Hydraulic pump</t>
  </si>
  <si>
    <t>B</t>
  </si>
  <si>
    <t xml:space="preserve"> TECO</t>
  </si>
  <si>
    <t>Medium</t>
  </si>
  <si>
    <t>PCS</t>
  </si>
  <si>
    <t>AR-01</t>
  </si>
  <si>
    <t>Maintenance Team</t>
  </si>
  <si>
    <t>B17</t>
  </si>
  <si>
    <t>B14,B15,B16,B18,B19</t>
  </si>
  <si>
    <t>PT-02</t>
  </si>
  <si>
    <t>Filter</t>
  </si>
  <si>
    <t>AR-02</t>
  </si>
  <si>
    <t>B18,B19</t>
  </si>
  <si>
    <t>PT-03</t>
  </si>
  <si>
    <t>Oil Mirror</t>
  </si>
  <si>
    <t>AR-03</t>
  </si>
  <si>
    <t>-</t>
  </si>
  <si>
    <t>PT-04</t>
  </si>
  <si>
    <t>Solenoid Valve releasing cylinder upper</t>
  </si>
  <si>
    <t>Yuken</t>
  </si>
  <si>
    <t>AR-04</t>
  </si>
  <si>
    <t>Local</t>
  </si>
  <si>
    <t>PT-05</t>
  </si>
  <si>
    <t>Solenoid Valve Main Cylinder</t>
  </si>
  <si>
    <t>AR-05</t>
  </si>
  <si>
    <t>PT-06</t>
  </si>
  <si>
    <t>Solenoid Valve Mold Move in Cylinder</t>
  </si>
  <si>
    <t>AR-06</t>
  </si>
  <si>
    <t>PT-07</t>
  </si>
  <si>
    <t>Counterbalance Valve</t>
  </si>
  <si>
    <t>Critical</t>
  </si>
  <si>
    <t>AR-07</t>
  </si>
  <si>
    <t>PT-08</t>
  </si>
  <si>
    <t>AR-08</t>
  </si>
  <si>
    <t>PT-09</t>
  </si>
  <si>
    <t>Proportion Pressure &amp; Flow Compound Valve</t>
  </si>
  <si>
    <t>Low</t>
  </si>
  <si>
    <t>AR-09</t>
  </si>
  <si>
    <t>PT-10</t>
  </si>
  <si>
    <t>Stop Valve</t>
  </si>
  <si>
    <t>AR-10</t>
  </si>
  <si>
    <t>Cylinder Hyd</t>
  </si>
  <si>
    <t>PT-11</t>
  </si>
  <si>
    <t>Wiper Seal</t>
  </si>
  <si>
    <t>AR-11</t>
  </si>
  <si>
    <t>PT-12</t>
  </si>
  <si>
    <t>Spindel Seal</t>
  </si>
  <si>
    <t>AR-12</t>
  </si>
  <si>
    <t>PT-13</t>
  </si>
  <si>
    <t>O-Ring</t>
  </si>
  <si>
    <t>AR-13</t>
  </si>
  <si>
    <t>PT-14</t>
  </si>
  <si>
    <t>AR-14</t>
  </si>
  <si>
    <t>Store Keeper</t>
  </si>
  <si>
    <t>Vacuum Unit</t>
  </si>
  <si>
    <t>PT-15</t>
  </si>
  <si>
    <t>Vacuum pump Motor</t>
  </si>
  <si>
    <t>AR-15</t>
  </si>
  <si>
    <t>PT-16</t>
  </si>
  <si>
    <t>Solenoid Valve</t>
  </si>
  <si>
    <t>Mindman</t>
  </si>
  <si>
    <t>AR-16</t>
  </si>
  <si>
    <t>PT-17</t>
  </si>
  <si>
    <t>Air Switch</t>
  </si>
  <si>
    <t>AR-17</t>
  </si>
  <si>
    <t>PT-18</t>
  </si>
  <si>
    <t>Pressure Switch</t>
  </si>
  <si>
    <t>AR-18</t>
  </si>
  <si>
    <t>Electrical System</t>
  </si>
  <si>
    <t>PT-19</t>
  </si>
  <si>
    <t>Breaker Main</t>
  </si>
  <si>
    <t>Fuji</t>
  </si>
  <si>
    <t>AR-19</t>
  </si>
  <si>
    <t>PT-20</t>
  </si>
  <si>
    <t>Breaker Heater</t>
  </si>
  <si>
    <t>AR-20</t>
  </si>
  <si>
    <t>PT-21</t>
  </si>
  <si>
    <t>Power Supply</t>
  </si>
  <si>
    <t>Omron</t>
  </si>
  <si>
    <t>AR-21</t>
  </si>
  <si>
    <t>PT-22</t>
  </si>
  <si>
    <t>Temperature Controller</t>
  </si>
  <si>
    <t>AR-22</t>
  </si>
  <si>
    <t>oversee</t>
  </si>
  <si>
    <t>PT-23</t>
  </si>
  <si>
    <t>Magnetic Contactor Motor pump</t>
  </si>
  <si>
    <t>AR-23</t>
  </si>
  <si>
    <t>PT-24</t>
  </si>
  <si>
    <t>Magnetic Switch Heater</t>
  </si>
  <si>
    <t>AR-24</t>
  </si>
  <si>
    <t>PT-25</t>
  </si>
  <si>
    <t>Overload Motor pump Hyd</t>
  </si>
  <si>
    <t>AR-25</t>
  </si>
  <si>
    <t>PT-26</t>
  </si>
  <si>
    <t>Overload Motor Vacuum</t>
  </si>
  <si>
    <t>AR-26</t>
  </si>
  <si>
    <t>PT-27</t>
  </si>
  <si>
    <t>Relay</t>
  </si>
  <si>
    <t>A</t>
  </si>
  <si>
    <t>AR-27</t>
  </si>
  <si>
    <t>A4-A7,B4-B7</t>
  </si>
  <si>
    <t>PT-28</t>
  </si>
  <si>
    <t>PLC Controller</t>
  </si>
  <si>
    <t>AR-28</t>
  </si>
  <si>
    <t>PT-29</t>
  </si>
  <si>
    <t>AR-29</t>
  </si>
  <si>
    <t>A4-A7,B4-B8</t>
  </si>
  <si>
    <t>PT-30</t>
  </si>
  <si>
    <t>AR-30</t>
  </si>
  <si>
    <t>ศิวจักร์ 3000 บาท ค่าแรง</t>
  </si>
  <si>
    <t>PT-31</t>
  </si>
  <si>
    <t>AR-31</t>
  </si>
  <si>
    <t>PT-32</t>
  </si>
  <si>
    <t>AR-32</t>
  </si>
  <si>
    <t>PT-33</t>
  </si>
  <si>
    <t>Touch Screen</t>
  </si>
  <si>
    <t>AR-33</t>
  </si>
  <si>
    <t>PT-34</t>
  </si>
  <si>
    <t>Heater ( Top Plate)</t>
  </si>
  <si>
    <t>Srang Sern</t>
  </si>
  <si>
    <t>AR-34</t>
  </si>
  <si>
    <t>PT-35</t>
  </si>
  <si>
    <t>Heater(Top/Lower Plate )</t>
  </si>
  <si>
    <t>AR-35</t>
  </si>
  <si>
    <t>PT-36</t>
  </si>
  <si>
    <t>Heater(Top/Lower Plate)</t>
  </si>
  <si>
    <t>AR-36</t>
  </si>
  <si>
    <t>PT-37</t>
  </si>
  <si>
    <t>AR-37</t>
  </si>
  <si>
    <t>Desma</t>
  </si>
  <si>
    <t>D8,D10,D11</t>
  </si>
  <si>
    <t>Top HEPL part</t>
  </si>
  <si>
    <t>PT-38</t>
  </si>
  <si>
    <t>Insulating plate top 560 x630 S400HT</t>
  </si>
  <si>
    <t>AR-38</t>
  </si>
  <si>
    <t>PT-39</t>
  </si>
  <si>
    <t>Socket Head Screw M16x75 DiN 921-8.8</t>
  </si>
  <si>
    <t>AR-39</t>
  </si>
  <si>
    <t>PT-40</t>
  </si>
  <si>
    <t>Slotted Pan Heasd screw M4x8 DIN 921-5.8</t>
  </si>
  <si>
    <t>AR-40</t>
  </si>
  <si>
    <t>PT-41</t>
  </si>
  <si>
    <t>Connecting Box HEPL 560</t>
  </si>
  <si>
    <t>AR-41</t>
  </si>
  <si>
    <t>PT-42</t>
  </si>
  <si>
    <t>Socket Head Screw M5x20  DiN 912- 12.9</t>
  </si>
  <si>
    <t>AR-42</t>
  </si>
  <si>
    <t>PT-43</t>
  </si>
  <si>
    <t>DC Valve Hydrulic</t>
  </si>
  <si>
    <t>Rexrath</t>
  </si>
  <si>
    <t>AR-43</t>
  </si>
  <si>
    <t>PT-44</t>
  </si>
  <si>
    <t>Counter Balance Valve</t>
  </si>
  <si>
    <t>AR-44</t>
  </si>
  <si>
    <t>PT-45</t>
  </si>
  <si>
    <t>Pres relief valve</t>
  </si>
  <si>
    <t>AR-45</t>
  </si>
  <si>
    <t>Extruder</t>
  </si>
  <si>
    <t>Extruder 01</t>
  </si>
  <si>
    <t>EX-01</t>
  </si>
  <si>
    <t>Hot Oven No.1,3,4</t>
  </si>
  <si>
    <t>PT-46</t>
  </si>
  <si>
    <t>Heater</t>
  </si>
  <si>
    <t>AR-46</t>
  </si>
  <si>
    <t>Hot Oven No.2</t>
  </si>
  <si>
    <t>PT-47</t>
  </si>
  <si>
    <t>AR-47</t>
  </si>
  <si>
    <t>Hot Oven 1-4</t>
  </si>
  <si>
    <t>PT-48</t>
  </si>
  <si>
    <t>Motor Gear</t>
  </si>
  <si>
    <t>Siemens</t>
  </si>
  <si>
    <t>AR-48</t>
  </si>
  <si>
    <t>Actual 27 PC</t>
  </si>
  <si>
    <t>PT-49</t>
  </si>
  <si>
    <t>Gear Unit</t>
  </si>
  <si>
    <t xml:space="preserve">Hangzhou Wanjie </t>
  </si>
  <si>
    <t>AR-49</t>
  </si>
  <si>
    <t>Actual 8 PC</t>
  </si>
  <si>
    <t>PT-50</t>
  </si>
  <si>
    <t>Inverter</t>
  </si>
  <si>
    <t xml:space="preserve"> Delta </t>
  </si>
  <si>
    <t>AR-50</t>
  </si>
  <si>
    <t>PT-51</t>
  </si>
  <si>
    <t>Temp Control</t>
  </si>
  <si>
    <t xml:space="preserve"> "Omron" </t>
  </si>
  <si>
    <t>AR-51</t>
  </si>
  <si>
    <t>PT-52</t>
  </si>
  <si>
    <t>Motor Blower</t>
  </si>
  <si>
    <t>Yangyi</t>
  </si>
  <si>
    <t>AR-52</t>
  </si>
  <si>
    <t>PT-53</t>
  </si>
  <si>
    <t>Thermo</t>
  </si>
  <si>
    <t>Misumi</t>
  </si>
  <si>
    <t>AR-53</t>
  </si>
  <si>
    <t>PT-54</t>
  </si>
  <si>
    <t>Toggle Sw.</t>
  </si>
  <si>
    <t>AR-54</t>
  </si>
  <si>
    <t>PT-55</t>
  </si>
  <si>
    <t>Speed Control</t>
  </si>
  <si>
    <t>AR-55</t>
  </si>
  <si>
    <t>PT-56</t>
  </si>
  <si>
    <t>Speed Indicator</t>
  </si>
  <si>
    <t>AR-56</t>
  </si>
  <si>
    <t>PT-57</t>
  </si>
  <si>
    <t>Conveyor belt tensioning shaft and guide rail</t>
  </si>
  <si>
    <t>AR-57</t>
  </si>
  <si>
    <t>PT-58</t>
  </si>
  <si>
    <t>Solid state</t>
  </si>
  <si>
    <t>Fotek</t>
  </si>
  <si>
    <t>AR-58</t>
  </si>
  <si>
    <t>PT-59</t>
  </si>
  <si>
    <t>AR-59</t>
  </si>
  <si>
    <t>PT-60</t>
  </si>
  <si>
    <t>Magnetic</t>
  </si>
  <si>
    <t>AR-60</t>
  </si>
  <si>
    <t>PT-61</t>
  </si>
  <si>
    <t>Over load</t>
  </si>
  <si>
    <t>AR-61</t>
  </si>
  <si>
    <t>PT-62</t>
  </si>
  <si>
    <t>Breaker Main/Heater</t>
  </si>
  <si>
    <t>Mitsubishi</t>
  </si>
  <si>
    <t>AR-62</t>
  </si>
  <si>
    <t>12 PC</t>
  </si>
  <si>
    <t>PT-63</t>
  </si>
  <si>
    <t>Breaker</t>
  </si>
  <si>
    <t>AR-63</t>
  </si>
  <si>
    <t>PT-64</t>
  </si>
  <si>
    <t>Breaker Motor Blower /Inverter</t>
  </si>
  <si>
    <t>AR-64</t>
  </si>
  <si>
    <t>16 PC</t>
  </si>
  <si>
    <t>Hot Oven 2-4</t>
  </si>
  <si>
    <t>PT-65</t>
  </si>
  <si>
    <t>Belt</t>
  </si>
  <si>
    <t>ซันโตซ๊</t>
  </si>
  <si>
    <t>AR-65</t>
  </si>
  <si>
    <t>PT-66</t>
  </si>
  <si>
    <t>Chain</t>
  </si>
  <si>
    <t>AR-66</t>
  </si>
  <si>
    <t>PT-67</t>
  </si>
  <si>
    <t>Selector Switch</t>
  </si>
  <si>
    <t>IDEC</t>
  </si>
  <si>
    <t>AR-67</t>
  </si>
  <si>
    <t>'Pull  Machine</t>
  </si>
  <si>
    <t>PT-68</t>
  </si>
  <si>
    <t xml:space="preserve">Delta </t>
  </si>
  <si>
    <t>AR-68</t>
  </si>
  <si>
    <t>PT-69</t>
  </si>
  <si>
    <t>Motor</t>
  </si>
  <si>
    <t>AR-69</t>
  </si>
  <si>
    <t>PT-70</t>
  </si>
  <si>
    <t>AR-70</t>
  </si>
  <si>
    <t>Cutting Machine</t>
  </si>
  <si>
    <t>PT-71</t>
  </si>
  <si>
    <t>Servo Amp</t>
  </si>
  <si>
    <t>AR-71</t>
  </si>
  <si>
    <t>PT-72</t>
  </si>
  <si>
    <t>AC Servo Motor</t>
  </si>
  <si>
    <t>AR-72</t>
  </si>
  <si>
    <t>Water Bath Unit</t>
  </si>
  <si>
    <t>PT-73</t>
  </si>
  <si>
    <t>Shanghai Full electrica</t>
  </si>
  <si>
    <t>AR-73</t>
  </si>
  <si>
    <t>Mixing</t>
  </si>
  <si>
    <t>Mix-55L</t>
  </si>
  <si>
    <t>Mix-01</t>
  </si>
  <si>
    <t>Knewder Unit</t>
  </si>
  <si>
    <t>PT-74</t>
  </si>
  <si>
    <t>AR-74</t>
  </si>
  <si>
    <t>Caleder</t>
  </si>
  <si>
    <t>PT-75</t>
  </si>
  <si>
    <t>AR-75</t>
  </si>
  <si>
    <t>Mix-75L</t>
  </si>
  <si>
    <t>Mix-02</t>
  </si>
  <si>
    <t>PT-76</t>
  </si>
  <si>
    <t>AR-76</t>
  </si>
  <si>
    <t>PT-77</t>
  </si>
  <si>
    <t>AR-77</t>
  </si>
  <si>
    <t>Auto-Cut</t>
  </si>
  <si>
    <t>Cut-01</t>
  </si>
  <si>
    <t>PT-78</t>
  </si>
  <si>
    <t>AR-78</t>
  </si>
  <si>
    <t>Pneumatic</t>
  </si>
  <si>
    <t>PT-79</t>
  </si>
  <si>
    <t>Vavle</t>
  </si>
  <si>
    <t>AR-79</t>
  </si>
  <si>
    <t>Auto slit</t>
  </si>
  <si>
    <t>Slit-01</t>
  </si>
  <si>
    <t>PT-80</t>
  </si>
  <si>
    <t>AR-80</t>
  </si>
  <si>
    <t>PT-81</t>
  </si>
  <si>
    <t>AR-81</t>
  </si>
  <si>
    <t>Auto Cab</t>
  </si>
  <si>
    <t>Auto-cab</t>
  </si>
  <si>
    <t>Cab-01</t>
  </si>
  <si>
    <t>PT-82</t>
  </si>
  <si>
    <t>AR-82</t>
  </si>
  <si>
    <t>PT-83</t>
  </si>
  <si>
    <t>AR-83</t>
  </si>
  <si>
    <t>Boiler</t>
  </si>
  <si>
    <t>BO-01</t>
  </si>
  <si>
    <t>PT-84</t>
  </si>
  <si>
    <t>AR-84</t>
  </si>
  <si>
    <t>N2O</t>
  </si>
  <si>
    <t>N2-01</t>
  </si>
  <si>
    <t>PT-85</t>
  </si>
  <si>
    <t>AR-85</t>
  </si>
  <si>
    <t>Cooling Tower</t>
  </si>
  <si>
    <t>CT-01</t>
  </si>
  <si>
    <t>AR-86</t>
  </si>
  <si>
    <t>AR-87</t>
  </si>
  <si>
    <t>Air Compreesor</t>
  </si>
  <si>
    <t>AC</t>
  </si>
  <si>
    <t>AC-01</t>
  </si>
  <si>
    <t>PT-86</t>
  </si>
  <si>
    <t>AR-88</t>
  </si>
  <si>
    <t>Date</t>
  </si>
  <si>
    <t>Doc No.</t>
  </si>
  <si>
    <t>Qty In</t>
  </si>
  <si>
    <t>Receiver</t>
  </si>
  <si>
    <t>2026-05-01</t>
  </si>
  <si>
    <t>INIT-001</t>
  </si>
  <si>
    <t>Store_Admin</t>
  </si>
  <si>
    <t>Qty Out</t>
  </si>
  <si>
    <t>Requester</t>
  </si>
  <si>
    <t>Machine Code</t>
  </si>
  <si>
    <t>Reason</t>
  </si>
  <si>
    <t>2026-05-12</t>
  </si>
  <si>
    <t>REQ-2026001</t>
  </si>
  <si>
    <t>ช่างสมชาย</t>
  </si>
  <si>
    <t>อะไหล่เสื่อมสภาพตามรอบการใช้งาน (PM)</t>
  </si>
  <si>
    <t>Machine Spare Part Control - Improvement Recommendation</t>
  </si>
  <si>
    <t>Area</t>
  </si>
  <si>
    <t>Current Situation</t>
  </si>
  <si>
    <t>Gap / Weakness</t>
  </si>
  <si>
    <t>Recommended Improvement</t>
  </si>
  <si>
    <t>Benefit</t>
  </si>
  <si>
    <t>Priority</t>
  </si>
  <si>
    <t>Owner</t>
  </si>
  <si>
    <t>Timeline</t>
  </si>
  <si>
    <t>Master Data</t>
  </si>
  <si>
    <t>ยังไม่มี Machine Criticality Score</t>
  </si>
  <si>
    <t>วัดความเสี่ยงเครื่องจักรไม่แม่น</t>
  </si>
  <si>
    <t>เพิ่มคะแนน Criticality ตาม Production Impact / Safety / Quality</t>
  </si>
  <si>
    <t>จัดลำดับการถือ Stock ได้แม่นขึ้น</t>
  </si>
  <si>
    <t>High</t>
  </si>
  <si>
    <t>Maintenance</t>
  </si>
  <si>
    <t>1 Month</t>
  </si>
  <si>
    <t>Inventory Control</t>
  </si>
  <si>
    <t>มี Min-Max แต่ยังไม่มี Safety Stock</t>
  </si>
  <si>
    <t>เสี่ยง Stock Out</t>
  </si>
  <si>
    <t>เพิ่มสูตร Safety Stock และ ROP</t>
  </si>
  <si>
    <t>ลด Emergency Purchase</t>
  </si>
  <si>
    <t>Store + Purchasing</t>
  </si>
  <si>
    <t>2 Weeks</t>
  </si>
  <si>
    <t>Dashboard</t>
  </si>
  <si>
    <t>มี KPI พื้นฐาน</t>
  </si>
  <si>
    <t>ยังไม่มี Pareto และ Trend</t>
  </si>
  <si>
    <t>เพิ่ม Pareto Top Failure และ Monthly Trend</t>
  </si>
  <si>
    <t>ผู้บริหารเห็นปัญหาหลักทันที</t>
  </si>
  <si>
    <t>Engineering</t>
  </si>
  <si>
    <t>Breakdown Analysis</t>
  </si>
  <si>
    <t>มี Breakdown History</t>
  </si>
  <si>
    <t>ยังไม่วิเคราะห์ MTBF/MTTR</t>
  </si>
  <si>
    <t>เพิ่ม MTBF และ MTTR Dashboard</t>
  </si>
  <si>
    <t>วิเคราะห์ Reliability ได้</t>
  </si>
  <si>
    <t>Dead Stock</t>
  </si>
  <si>
    <t>มี Aging</t>
  </si>
  <si>
    <t>ยังไม่มี Cost Impact</t>
  </si>
  <si>
    <t>เพิ่ม Dead Stock Cost Summary</t>
  </si>
  <si>
    <t>ลดทุนจม</t>
  </si>
  <si>
    <t>Store</t>
  </si>
  <si>
    <t>Supplier Control</t>
  </si>
  <si>
    <t>มี Supplier Name</t>
  </si>
  <si>
    <t>ยังไม่มี Supplier KPI</t>
  </si>
  <si>
    <t>เพิ่ม On-Time Delivery และ Quality KPI</t>
  </si>
  <si>
    <t>ประเมิน Vendor ได้</t>
  </si>
  <si>
    <t>Purchasing</t>
  </si>
  <si>
    <t>PM Planning</t>
  </si>
  <si>
    <t>มี PM Schedule</t>
  </si>
  <si>
    <t>ยังไม่เชื่อม Spare Usage</t>
  </si>
  <si>
    <t>เชื่อม PM กับ Spare Consumption</t>
  </si>
  <si>
    <t>Forecast อะไหล่ได้แม่นขึ้น</t>
  </si>
  <si>
    <t>Presentation</t>
  </si>
  <si>
    <t>ยังไม่มี Executive Summary</t>
  </si>
  <si>
    <t>ผู้บริหารดูข้อมูลยาก</t>
  </si>
  <si>
    <t>เพิ่มหน้า Summary Dashboard 1 Page</t>
  </si>
  <si>
    <t>ใช้ Present ผู้บริหารได้ทันที</t>
  </si>
  <si>
    <t>1 Week</t>
  </si>
  <si>
    <t>คะแนน 9 (วิกฤตสูงสุด)</t>
  </si>
  <si>
    <t>คะแนน 6 (ความเสี่ยงปานกลาง-สูง)</t>
  </si>
  <si>
    <t>คะแนน 3 (ความเสี่ยงต่ำ)</t>
  </si>
  <si>
    <t>Presentation Structure Recommendation</t>
  </si>
  <si>
    <t>Slide 1</t>
  </si>
  <si>
    <t>Current Spare Part Situation</t>
  </si>
  <si>
    <t>แสดงปัญหา Overstock / Breakdown / Emergency Purchase</t>
  </si>
  <si>
    <t>Slide 2</t>
  </si>
  <si>
    <t>Criticality Matrix</t>
  </si>
  <si>
    <t>แสดง Machine Rank vs Part Rank</t>
  </si>
  <si>
    <t>Slide 3</t>
  </si>
  <si>
    <t>Current Inventory KPI</t>
  </si>
  <si>
    <t>Inventory Accuracy / Dead Stock / Reorder</t>
  </si>
  <si>
    <t>Slide 4</t>
  </si>
  <si>
    <t>Top Breakdown Analysis</t>
  </si>
  <si>
    <t>Pareto Top Failure Part</t>
  </si>
  <si>
    <t>Slide 5</t>
  </si>
  <si>
    <t>Dead Stock Cost</t>
  </si>
  <si>
    <t>มูลค่าของค้างคลัง</t>
  </si>
  <si>
    <t>Slide 6</t>
  </si>
  <si>
    <t>Improvement Plan</t>
  </si>
  <si>
    <t>Action Plan + Timeline</t>
  </si>
  <si>
    <t>Slide 7</t>
  </si>
  <si>
    <t>Expected Benefit</t>
  </si>
  <si>
    <t>ลด Downtime / ลด Stock / ลด Cost</t>
  </si>
  <si>
    <t>Machine Spare Part Executive Dashboard</t>
  </si>
  <si>
    <t>KPI</t>
  </si>
  <si>
    <t>Target</t>
  </si>
  <si>
    <t>Actual</t>
  </si>
  <si>
    <t>Status</t>
  </si>
  <si>
    <t>Inventory Accuracy %</t>
  </si>
  <si>
    <t>Below Target</t>
  </si>
  <si>
    <t>Critical Part Availability %</t>
  </si>
  <si>
    <t>Dead Stock Value</t>
  </si>
  <si>
    <t>Emergency Purchase %</t>
  </si>
  <si>
    <t>MC Group Summary + Risk Zone</t>
  </si>
  <si>
    <t>Machine Count</t>
  </si>
  <si>
    <t>Spare Part Qty</t>
  </si>
  <si>
    <t>Critical Parts</t>
  </si>
  <si>
    <t>Compression</t>
  </si>
  <si>
    <t>HIGH RISK</t>
  </si>
  <si>
    <t>Injection</t>
  </si>
  <si>
    <t>MEDIUM RISK</t>
  </si>
  <si>
    <t>CNC</t>
  </si>
  <si>
    <t>Utility</t>
  </si>
  <si>
    <t>LOW RISK</t>
  </si>
  <si>
    <t>Count</t>
  </si>
  <si>
    <t>HIGH</t>
  </si>
  <si>
    <t>MEDIUM</t>
  </si>
  <si>
    <t>LOW</t>
  </si>
  <si>
    <t>Executive Key Focus</t>
  </si>
  <si>
    <t>1. Compression และ Injection มีความเสี่ยงสูงสุด</t>
  </si>
  <si>
    <t>2. Critical Part ต้อง Maintain Safety Stock</t>
  </si>
  <si>
    <t>3. Dead Stock สูงเกิน Target</t>
  </si>
  <si>
    <t>4. ควรลด Emergency Purchase และติดตาม Supplier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</si>
</sst>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  <font>
      <b/>
      <sz val="16"/>
      <color rgb="FFFFFFFF"/>
      <name val="Segoe UI"/>
      <family val="2"/>
    </font>
    <font>
      <b/>
      <sz val="12"/>
      <color rgb="FFC62828"/>
      <name val="Segoe UI"/>
      <family val="2"/>
    </font>
    <font>
      <b/>
      <sz val="11"/>
      <color rgb="FF1F4E78"/>
      <name val="Segoe UI"/>
      <family val="2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color rgb="FFFFFFFF"/>
      <name val="Calibri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Arial"/>
      <family val="2"/>
    </font>
    <font>
      <sz val="9"/>
      <name val="Segoe UI"/>
      <family val="2"/>
    </font>
    <font>
      <b/>
      <sz val="10"/>
      <name val="Arial"/>
      <family val="2"/>
    </font>
    <font>
      <sz val="11"/>
      <name val="Segoe UI"/>
      <family val="2"/>
    </font>
    <font>
      <b/>
      <sz val="18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333333"/>
        <bgColor rgb="FF333333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6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0" fillId="0" borderId="0" xfId="0" applyFont="1"/>
    <xf numFmtId="0" fontId="11" fillId="7" borderId="0" xfId="0" applyFont="1" applyFill="1"/>
    <xf numFmtId="0" fontId="0" fillId="8" borderId="0" xfId="0" applyFill="1"/>
    <xf numFmtId="0" fontId="0" fillId="9" borderId="0" xfId="0" applyFill="1"/>
    <xf numFmtId="0" fontId="12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3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3" fontId="9" fillId="1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/>
    <xf numFmtId="0" fontId="13" fillId="0" borderId="0" xfId="0" applyFont="1"/>
    <xf numFmtId="0" fontId="18" fillId="0" borderId="0" xfId="0" applyFont="1"/>
    <xf numFmtId="0" fontId="0" fillId="11" borderId="2" xfId="0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9" fillId="0" borderId="0" xfId="0" applyFont="1"/>
    <xf numFmtId="0" fontId="9" fillId="11" borderId="0" xfId="0" applyFont="1" applyFill="1" applyAlignment="1">
      <alignment horizontal="center"/>
    </xf>
    <xf numFmtId="0" fontId="0" fillId="0" borderId="2" xfId="0" applyBorder="1" applyAlignment="1">
      <alignment vertical="center"/>
    </xf>
    <xf numFmtId="0" fontId="19" fillId="0" borderId="0" xfId="0" applyFont="1"/>
    <xf numFmtId="0" fontId="20" fillId="12" borderId="0" xfId="0" applyFont="1" applyFill="1" applyAlignment="1">
      <alignment horizontal="center" vertical="center"/>
    </xf>
    <xf numFmtId="0" fontId="21" fillId="0" borderId="0" xfId="0" applyFont="1"/>
    <xf numFmtId="0" fontId="20" fillId="13" borderId="0" xfId="0" applyFont="1" applyFill="1"/>
    <xf numFmtId="0" fontId="0" fillId="14" borderId="0" xfId="0" applyFill="1"/>
    <xf numFmtId="0" fontId="0" fillId="15" borderId="0" xfId="0" applyFill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1" fillId="13" borderId="0" xfId="0" applyFont="1" applyFill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Segoe UI"/>
        <family val="2"/>
      </font>
      <fill>
        <patternFill patternType="solid">
          <fgColor rgb="FF1F4E78"/>
          <bgColor rgb="FF1F4E78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latin typeface="Arial"/>
              </a:defRPr>
            </a:pPr>
            <a:r>
              <a:rPr lang="en-US" sz="1000" b="1" baseline="0">
                <a:latin typeface="Arial"/>
              </a:rPr>
              <a:t>Inventory Value by Risk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Dashboard'!$E$5</c:f>
              <c:strCache>
                <c:ptCount val="1"/>
                <c:pt idx="0">
                  <c:v>Inventory Value (THB)</c:v>
                </c:pt>
              </c:strCache>
            </c:strRef>
          </c:tx>
          <c:spPr>
            <a:solidFill>
              <a:srgbClr val="2F5597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900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Dashboard'!$C$6:$C$8</c:f>
              <c:strCache>
                <c:ptCount val="3"/>
                <c:pt idx="0">
                  <c:v>🔴 วิกฤต! (ของหมด)</c:v>
                </c:pt>
                <c:pt idx="1">
                  <c:v>🟡 ควรสั่งซื้อ (ต่ำกว่า ROP)</c:v>
                </c:pt>
                <c:pt idx="2">
                  <c:v>🟢 ปกติ</c:v>
                </c:pt>
              </c:strCache>
            </c:strRef>
          </c:cat>
          <c:val>
            <c:numRef>
              <c:f>'Executive Dashboard'!$E$6:$E$8</c:f>
              <c:numCache>
                <c:formatCode>#,##0</c:formatCode>
                <c:ptCount val="3"/>
                <c:pt idx="0">
                  <c:v>0</c:v>
                </c:pt>
                <c:pt idx="1">
                  <c:v>9000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8-41CF-A1D8-A09B3847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Risk Zone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THB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Spare Parts Distribution by Machine Criticality</a:t>
            </a:r>
          </a:p>
        </c:rich>
      </c:tx>
      <c:layout>
        <c:manualLayout>
          <c:xMode val="edge"/>
          <c:yMode val="edge"/>
          <c:x val="0.1746388888888889"/>
          <c:y val="2.822222222222222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Dashboard'!$I$6</c:f>
              <c:strCache>
                <c:ptCount val="1"/>
                <c:pt idx="0">
                  <c:v>จำนวนอะไหล่ (รายการ)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'Executive Dashboard'!$H$7:$H$9</c:f>
              <c:numCache>
                <c:formatCode>General</c:formatCode>
                <c:ptCount val="3"/>
                <c:pt idx="0">
                  <c:v>9</c:v>
                </c:pt>
                <c:pt idx="1">
                  <c:v>6</c:v>
                </c:pt>
                <c:pt idx="2">
                  <c:v>3</c:v>
                </c:pt>
              </c:numCache>
            </c:numRef>
          </c:cat>
          <c:val>
            <c:numRef>
              <c:f>'Executive Dashboard'!$I$7:$I$9</c:f>
              <c:numCache>
                <c:formatCode>General</c:formatCode>
                <c:ptCount val="3"/>
                <c:pt idx="0">
                  <c:v>39</c:v>
                </c:pt>
                <c:pt idx="1">
                  <c:v>47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E-4CC2-BFB1-7812BD5D1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Criticality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Parts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Inventory Value by MC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Executive_Dashboard!$D$14</c:f>
              <c:strCache>
                <c:ptCount val="1"/>
                <c:pt idx="0">
                  <c:v>Inventory Value (THB)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Executive_Dashboard!$A$15:$A$19</c:f>
              <c:strCache>
                <c:ptCount val="5"/>
                <c:pt idx="0">
                  <c:v>Compression</c:v>
                </c:pt>
                <c:pt idx="1">
                  <c:v>Injection</c:v>
                </c:pt>
                <c:pt idx="2">
                  <c:v>Vacuum</c:v>
                </c:pt>
                <c:pt idx="3">
                  <c:v>CNC</c:v>
                </c:pt>
                <c:pt idx="4">
                  <c:v>Utility</c:v>
                </c:pt>
              </c:strCache>
            </c:strRef>
          </c:cat>
          <c:val>
            <c:numRef>
              <c:f>Executive_Dashboard!$D$15:$D$19</c:f>
              <c:numCache>
                <c:formatCode>General</c:formatCode>
                <c:ptCount val="5"/>
                <c:pt idx="0">
                  <c:v>1250000</c:v>
                </c:pt>
                <c:pt idx="1">
                  <c:v>980000</c:v>
                </c:pt>
                <c:pt idx="2">
                  <c:v>450000</c:v>
                </c:pt>
                <c:pt idx="3">
                  <c:v>780000</c:v>
                </c:pt>
                <c:pt idx="4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4-4E17-8DA8-A215CD086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Risk Zone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Executive_Dashboard!$B$25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Executive_Dashboard!$A$26:$A$28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Executive_Dashboard!$B$26:$B$28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A-45FA-B88A-3FF3F5B96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8468</xdr:colOff>
      <xdr:row>9</xdr:row>
      <xdr:rowOff>66039</xdr:rowOff>
    </xdr:from>
    <xdr:to>
      <xdr:col>5</xdr:col>
      <xdr:colOff>55033</xdr:colOff>
      <xdr:row>20</xdr:row>
      <xdr:rowOff>89746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833967</xdr:colOff>
      <xdr:row>9</xdr:row>
      <xdr:rowOff>55033</xdr:rowOff>
    </xdr:from>
    <xdr:ext cx="5400000" cy="2214034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AB101" totalsRowShown="0" headerRowDxfId="24" dataDxfId="23">
  <autoFilter ref="A1:AB101" xr:uid="{00000000-0009-0000-0100-000001000000}"/>
  <tableColumns count="28">
    <tableColumn id="1" xr3:uid="{00000000-0010-0000-0000-000001000000}" name="Item"/>
    <tableColumn id="2" xr3:uid="{00000000-0010-0000-0000-000002000000}" name="MC Group"/>
    <tableColumn id="3" xr3:uid="{00000000-0010-0000-0000-000003000000}" name="MC Type"/>
    <tableColumn id="4" xr3:uid="{00000000-0010-0000-0000-000004000000}" name="MC Code" dataDxfId="22"/>
    <tableColumn id="5" xr3:uid="{00000000-0010-0000-0000-000005000000}" name="Machine Name"/>
    <tableColumn id="6" xr3:uid="{00000000-0010-0000-0000-000006000000}" name="MC Common"/>
    <tableColumn id="7" xr3:uid="{00000000-0010-0000-0000-000007000000}" name="Location Use"/>
    <tableColumn id="8" xr3:uid="{00000000-0010-0000-0000-000008000000}" name="Part Code"/>
    <tableColumn id="9" xr3:uid="{00000000-0010-0000-0000-000009000000}" name="Part Name"/>
    <tableColumn id="10" xr3:uid="{00000000-0010-0000-0000-00000A000000}" name="Machine Rank"/>
    <tableColumn id="11" xr3:uid="{00000000-0010-0000-0000-00000B000000}" name="Brand/Maker" dataDxfId="21"/>
    <tableColumn id="12" xr3:uid="{00000000-0010-0000-0000-00000C000000}" name="Part Rank" dataDxfId="20"/>
    <tableColumn id="13" xr3:uid="{00000000-0010-0000-0000-00000D000000}" name="Unit"/>
    <tableColumn id="14" xr3:uid="{00000000-0010-0000-0000-00000E000000}" name="Price Unit (Baht)" dataDxfId="19"/>
    <tableColumn id="15" xr3:uid="{00000000-0010-0000-0000-00000F000000}" name="Keeping Area" dataDxfId="18"/>
    <tableColumn id="16" xr3:uid="{00000000-0010-0000-0000-000010000000}" name="Max Stock" dataDxfId="17"/>
    <tableColumn id="17" xr3:uid="{00000000-0010-0000-0000-000011000000}" name="Min Stock" dataDxfId="16"/>
    <tableColumn id="18" xr3:uid="{00000000-0010-0000-0000-000012000000}" name="Safety Stock (Formula)" dataDxfId="15"/>
    <tableColumn id="19" xr3:uid="{00000000-0010-0000-0000-000013000000}" name="ROP (Reorder Point)" dataDxfId="14"/>
    <tableColumn id="20" xr3:uid="{00000000-0010-0000-0000-000014000000}" name="Current Stock" dataDxfId="13"/>
    <tableColumn id="21" xr3:uid="{00000000-0010-0000-0000-000015000000}" name="Amount (Baht)" dataDxfId="12"/>
    <tableColumn id="22" xr3:uid="{00000000-0010-0000-0000-000016000000}" name="Status Alert"/>
    <tableColumn id="23" xr3:uid="{00000000-0010-0000-0000-000017000000}" name="Risk Zone"/>
    <tableColumn id="24" xr3:uid="{00000000-0010-0000-0000-000018000000}" name="Machine Criticality Score"/>
    <tableColumn id="25" xr3:uid="{00000000-0010-0000-0000-000019000000}" name="Owner (Responsibility)"/>
    <tableColumn id="26" xr3:uid="{00000000-0010-0000-0000-00001A000000}" name="Lead Time (Days)" dataDxfId="11"/>
    <tableColumn id="27" xr3:uid="{00000000-0010-0000-0000-00001B000000}" name="Location Order" dataDxfId="10"/>
    <tableColumn id="28" xr3:uid="{00000000-0010-0000-0000-00001C000000}" name="Remark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8"/>
  <sheetViews>
    <sheetView showGridLines="0" tabSelected="1" zoomScale="80" zoomScaleNormal="80" workbookViewId="0">
      <selection activeCell="Q23" sqref="Q23"/>
    </sheetView>
  </sheetViews>
  <sheetFormatPr defaultRowHeight="14.4" x14ac:dyDescent="0.3"/>
  <cols>
    <col min="1" max="1" width="1.88671875" customWidth="1"/>
    <col min="2" max="2" width="14.6640625" customWidth="1"/>
    <col min="3" max="3" width="22.21875" customWidth="1"/>
    <col min="4" max="4" width="26.5546875" customWidth="1"/>
    <col min="5" max="5" width="17.5546875" customWidth="1"/>
    <col min="6" max="6" width="14.33203125" customWidth="1"/>
    <col min="7" max="7" width="12.44140625" customWidth="1"/>
    <col min="8" max="8" width="16.77734375" customWidth="1"/>
    <col min="9" max="9" width="20.44140625" customWidth="1"/>
    <col min="10" max="10" width="15" customWidth="1"/>
    <col min="12" max="12" width="14.77734375" customWidth="1"/>
    <col min="13" max="13" width="14.88671875" customWidth="1"/>
  </cols>
  <sheetData>
    <row r="2" spans="2:13" ht="14.4" customHeight="1" x14ac:dyDescent="0.3"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 ht="14.4" customHeight="1" x14ac:dyDescent="0.3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5" spans="2:13" ht="32.4" customHeight="1" x14ac:dyDescent="0.3">
      <c r="B5" s="33" t="s">
        <v>1</v>
      </c>
      <c r="C5" s="34" t="s">
        <v>2</v>
      </c>
      <c r="D5" s="34" t="s">
        <v>3</v>
      </c>
      <c r="E5" s="35" t="s">
        <v>4</v>
      </c>
      <c r="F5" s="34" t="s">
        <v>5</v>
      </c>
      <c r="H5" s="24" t="s">
        <v>6</v>
      </c>
    </row>
    <row r="6" spans="2:13" ht="19.2" customHeight="1" x14ac:dyDescent="0.3">
      <c r="B6" s="39" t="s">
        <v>7</v>
      </c>
      <c r="C6" s="21" t="s">
        <v>8</v>
      </c>
      <c r="D6" s="20">
        <f>COUNTIF('Master Data'!$W$2:$W$89, C6)</f>
        <v>73</v>
      </c>
      <c r="E6" s="20">
        <f>SUMIF('Master Data'!$W$2:$W$89, C6, 'Master Data'!$U$2:$U$89)</f>
        <v>0</v>
      </c>
      <c r="F6" s="20">
        <f>COUNTIFS('Master Data'!$W$2:$W$89,C6,'Master Data'!$V$2:$V$89, "ควรสั่งซื้อ")</f>
        <v>73</v>
      </c>
      <c r="G6" s="15" t="e">
        <f>COUNTIFS('Master Data'!$B$2:$B$74,B6,'Master Data'!$W$2:$W$89,C6,'Master Data'!$V$2:$V$74, "*ควรสั่งซื้อ*")</f>
        <v>#VALUE!</v>
      </c>
      <c r="H6" s="36" t="s">
        <v>9</v>
      </c>
      <c r="I6" s="36" t="s">
        <v>10</v>
      </c>
    </row>
    <row r="7" spans="2:13" ht="19.2" customHeight="1" x14ac:dyDescent="0.35">
      <c r="B7" s="39"/>
      <c r="C7" s="21" t="s">
        <v>11</v>
      </c>
      <c r="D7" s="20">
        <f>COUNTIF('Master Data'!$W$2:$W$89, C7)</f>
        <v>9</v>
      </c>
      <c r="E7" s="20">
        <f>SUMIF('Master Data'!$W$2:$W$89, C7, 'Master Data'!$U$2:$U$89)</f>
        <v>9000</v>
      </c>
      <c r="F7" s="20">
        <f>COUNTIFS('Master Data'!$W$2:$W$89,C7,'Master Data'!$V$2:$V$89, "ควรสั่งซื้อ")</f>
        <v>9</v>
      </c>
      <c r="G7" s="15">
        <f>SUM(COUNTIFS('Master Data'!$B$2:$B$74, "Forming", 'Master Data'!$V$2:$V$74, "*วิกฤต*"), COUNTIFS('Master Data'!$B$2:$B$74, "Forming", 'Master Data'!$V$2:$V$74, "*ควรสั่งซื้อ*"))</f>
        <v>40</v>
      </c>
      <c r="H7" s="16">
        <v>9</v>
      </c>
      <c r="I7" s="16">
        <f>COUNTIF('Master Data'!X2:X89, 9)</f>
        <v>39</v>
      </c>
    </row>
    <row r="8" spans="2:13" ht="19.2" customHeight="1" x14ac:dyDescent="0.35">
      <c r="B8" s="39"/>
      <c r="C8" s="21" t="s">
        <v>12</v>
      </c>
      <c r="D8" s="20">
        <f>COUNTIF('Master Data'!$W$2:$W$89, C8)</f>
        <v>6</v>
      </c>
      <c r="E8" s="20">
        <f>SUMIF('Master Data'!$W$2:$W$89, C8, 'Master Data'!$U$2:$U$89)</f>
        <v>0</v>
      </c>
      <c r="F8" s="20">
        <f>COUNTIFS('Master Data'!$W$2:$W$89,C8,'Master Data'!$V$2:$V$89, "ควรสั่งซื้อ")</f>
        <v>0</v>
      </c>
      <c r="H8" s="16">
        <v>6</v>
      </c>
      <c r="I8" s="16">
        <f>COUNTIF('Master Data'!X2:X89, 6)</f>
        <v>47</v>
      </c>
    </row>
    <row r="9" spans="2:13" ht="19.2" customHeight="1" x14ac:dyDescent="0.35">
      <c r="C9" s="22" t="s">
        <v>13</v>
      </c>
      <c r="D9" s="23">
        <f>SUM(D6:D8)</f>
        <v>88</v>
      </c>
      <c r="E9" s="23">
        <f>SUM(E6:E8)</f>
        <v>9000</v>
      </c>
      <c r="F9" s="23">
        <f>SUM(F6:F8)</f>
        <v>82</v>
      </c>
      <c r="H9" s="16">
        <v>3</v>
      </c>
      <c r="I9" s="16">
        <f>COUNTIF('Master Data'!X2:X89, 3)</f>
        <v>2</v>
      </c>
    </row>
    <row r="10" spans="2:13" ht="25.2" customHeight="1" x14ac:dyDescent="0.3"/>
    <row r="23" spans="3:10" ht="19.2" customHeight="1" x14ac:dyDescent="0.45">
      <c r="C23" s="1" t="s">
        <v>14</v>
      </c>
    </row>
    <row r="24" spans="3:10" ht="15" customHeight="1" x14ac:dyDescent="0.35">
      <c r="C24" s="2" t="s">
        <v>15</v>
      </c>
      <c r="D24" s="2" t="s">
        <v>16</v>
      </c>
      <c r="E24" s="2" t="s">
        <v>1</v>
      </c>
      <c r="F24" s="2" t="s">
        <v>17</v>
      </c>
      <c r="G24" s="2" t="s">
        <v>18</v>
      </c>
      <c r="H24" s="2" t="s">
        <v>19</v>
      </c>
      <c r="I24" s="2" t="s">
        <v>20</v>
      </c>
      <c r="J24" s="2" t="s">
        <v>9</v>
      </c>
    </row>
    <row r="25" spans="3:10" ht="15" customHeight="1" x14ac:dyDescent="0.35">
      <c r="C25" s="18" t="str">
        <f>'Master Data'!H2</f>
        <v>PT-01</v>
      </c>
      <c r="D25" s="19" t="str">
        <f>'Master Data'!I2</f>
        <v>Hydraulic pump</v>
      </c>
      <c r="E25" s="18" t="str">
        <f>'Master Data'!B2</f>
        <v>Forming</v>
      </c>
      <c r="F25" s="17">
        <f>'Master Data'!Q2</f>
        <v>1</v>
      </c>
      <c r="G25" s="17">
        <f>'Master Data'!S2</f>
        <v>2</v>
      </c>
      <c r="H25" s="17">
        <f>'Master Data'!T2</f>
        <v>0</v>
      </c>
      <c r="I25" s="6" t="str">
        <f>'Master Data'!W2</f>
        <v>🔴 วิกฤต! (ของหมด)</v>
      </c>
      <c r="J25" s="3">
        <f>'Master Data'!X2</f>
        <v>6</v>
      </c>
    </row>
    <row r="26" spans="3:10" ht="15" customHeight="1" x14ac:dyDescent="0.35">
      <c r="C26" s="18" t="str">
        <f>'Master Data'!H3</f>
        <v>PT-02</v>
      </c>
      <c r="D26" s="19" t="str">
        <f>'Master Data'!I3</f>
        <v>Filter</v>
      </c>
      <c r="E26" s="18" t="str">
        <f>'Master Data'!B3</f>
        <v>Forming</v>
      </c>
      <c r="F26" s="17">
        <f>'Master Data'!Q3</f>
        <v>1</v>
      </c>
      <c r="G26" s="17">
        <f>'Master Data'!S3</f>
        <v>2</v>
      </c>
      <c r="H26" s="17">
        <f>'Master Data'!T3</f>
        <v>0</v>
      </c>
      <c r="I26" s="6" t="str">
        <f>'Master Data'!W3</f>
        <v>🔴 วิกฤต! (ของหมด)</v>
      </c>
      <c r="J26" s="3">
        <f>'Master Data'!X3</f>
        <v>6</v>
      </c>
    </row>
    <row r="27" spans="3:10" ht="15" customHeight="1" x14ac:dyDescent="0.35">
      <c r="C27" s="18" t="str">
        <f>'Master Data'!H4</f>
        <v>PT-03</v>
      </c>
      <c r="D27" s="19" t="str">
        <f>'Master Data'!I4</f>
        <v>Oil Mirror</v>
      </c>
      <c r="E27" s="18" t="str">
        <f>'Master Data'!B4</f>
        <v>Forming</v>
      </c>
      <c r="F27" s="17">
        <f>'Master Data'!Q4</f>
        <v>1</v>
      </c>
      <c r="G27" s="17">
        <f>'Master Data'!S4</f>
        <v>2</v>
      </c>
      <c r="H27" s="17">
        <f>'Master Data'!T4</f>
        <v>0</v>
      </c>
      <c r="I27" s="6" t="str">
        <f>'Master Data'!W4</f>
        <v>🔴 วิกฤต! (ของหมด)</v>
      </c>
      <c r="J27" s="3">
        <f>'Master Data'!X4</f>
        <v>6</v>
      </c>
    </row>
    <row r="28" spans="3:10" ht="15" customHeight="1" x14ac:dyDescent="0.35">
      <c r="C28" s="18" t="str">
        <f>'Master Data'!H5</f>
        <v>PT-04</v>
      </c>
      <c r="D28" s="19" t="str">
        <f>'Master Data'!I5</f>
        <v>Solenoid Valve releasing cylinder upper</v>
      </c>
      <c r="E28" s="18" t="str">
        <f>'Master Data'!B5</f>
        <v>Forming</v>
      </c>
      <c r="F28" s="17">
        <f>'Master Data'!Q5</f>
        <v>1</v>
      </c>
      <c r="G28" s="17">
        <f>'Master Data'!S5</f>
        <v>2</v>
      </c>
      <c r="H28" s="17">
        <f>'Master Data'!T5</f>
        <v>0</v>
      </c>
      <c r="I28" s="6" t="str">
        <f>'Master Data'!W5</f>
        <v>🔴 วิกฤต! (ของหมด)</v>
      </c>
      <c r="J28" s="3">
        <f>'Master Data'!X5</f>
        <v>6</v>
      </c>
    </row>
    <row r="29" spans="3:10" ht="15" customHeight="1" x14ac:dyDescent="0.35">
      <c r="C29" s="18" t="str">
        <f>'Master Data'!H6</f>
        <v>PT-05</v>
      </c>
      <c r="D29" s="19" t="str">
        <f>'Master Data'!I6</f>
        <v>Solenoid Valve Main Cylinder</v>
      </c>
      <c r="E29" s="18" t="str">
        <f>'Master Data'!B6</f>
        <v>Forming</v>
      </c>
      <c r="F29" s="17">
        <f>'Master Data'!Q6</f>
        <v>1</v>
      </c>
      <c r="G29" s="17">
        <f>'Master Data'!S6</f>
        <v>2</v>
      </c>
      <c r="H29" s="17">
        <f>'Master Data'!T6</f>
        <v>1</v>
      </c>
      <c r="I29" s="6" t="str">
        <f>'Master Data'!W6</f>
        <v>🟡 ควรสั่งซื้อ (ต่ำกว่า ROP)</v>
      </c>
      <c r="J29" s="3">
        <f>'Master Data'!X6</f>
        <v>6</v>
      </c>
    </row>
    <row r="30" spans="3:10" ht="15" customHeight="1" x14ac:dyDescent="0.35">
      <c r="C30" s="18" t="str">
        <f>'Master Data'!H7</f>
        <v>PT-06</v>
      </c>
      <c r="D30" s="19" t="str">
        <f>'Master Data'!I7</f>
        <v>Solenoid Valve Mold Move in Cylinder</v>
      </c>
      <c r="E30" s="18" t="str">
        <f>'Master Data'!B7</f>
        <v>Forming</v>
      </c>
      <c r="F30" s="17">
        <f>'Master Data'!Q7</f>
        <v>1</v>
      </c>
      <c r="G30" s="17">
        <f>'Master Data'!S7</f>
        <v>2</v>
      </c>
      <c r="H30" s="17">
        <f>'Master Data'!T7</f>
        <v>1</v>
      </c>
      <c r="I30" s="6" t="str">
        <f>'Master Data'!W7</f>
        <v>🟡 ควรสั่งซื้อ (ต่ำกว่า ROP)</v>
      </c>
      <c r="J30" s="3">
        <f>'Master Data'!X7</f>
        <v>6</v>
      </c>
    </row>
    <row r="31" spans="3:10" ht="15" customHeight="1" x14ac:dyDescent="0.35">
      <c r="C31" s="18" t="str">
        <f>'Master Data'!H8</f>
        <v>PT-07</v>
      </c>
      <c r="D31" s="19" t="str">
        <f>'Master Data'!I8</f>
        <v>Counterbalance Valve</v>
      </c>
      <c r="E31" s="18" t="str">
        <f>'Master Data'!B8</f>
        <v>Forming</v>
      </c>
      <c r="F31" s="17">
        <f>'Master Data'!Q8</f>
        <v>1</v>
      </c>
      <c r="G31" s="17">
        <f>'Master Data'!S8</f>
        <v>2</v>
      </c>
      <c r="H31" s="17">
        <f>'Master Data'!T8</f>
        <v>0</v>
      </c>
      <c r="I31" s="6" t="str">
        <f>'Master Data'!W8</f>
        <v>🔴 วิกฤต! (ของหมด)</v>
      </c>
      <c r="J31" s="3">
        <f>'Master Data'!X8</f>
        <v>6</v>
      </c>
    </row>
    <row r="32" spans="3:10" ht="15" customHeight="1" x14ac:dyDescent="0.35">
      <c r="C32" s="18" t="str">
        <f>'Master Data'!H9</f>
        <v>PT-08</v>
      </c>
      <c r="D32" s="19" t="str">
        <f>'Master Data'!I9</f>
        <v>Counterbalance Valve</v>
      </c>
      <c r="E32" s="18" t="str">
        <f>'Master Data'!B9</f>
        <v>Forming</v>
      </c>
      <c r="F32" s="17">
        <f>'Master Data'!Q9</f>
        <v>1</v>
      </c>
      <c r="G32" s="17">
        <f>'Master Data'!S9</f>
        <v>2</v>
      </c>
      <c r="H32" s="17">
        <f>'Master Data'!T9</f>
        <v>0</v>
      </c>
      <c r="I32" s="6" t="str">
        <f>'Master Data'!W9</f>
        <v>🔴 วิกฤต! (ของหมด)</v>
      </c>
      <c r="J32" s="3">
        <f>'Master Data'!X9</f>
        <v>6</v>
      </c>
    </row>
    <row r="33" spans="3:10" ht="15" customHeight="1" x14ac:dyDescent="0.35">
      <c r="C33" s="18" t="str">
        <f>'Master Data'!H10</f>
        <v>PT-09</v>
      </c>
      <c r="D33" s="19" t="str">
        <f>'Master Data'!I10</f>
        <v>Proportion Pressure &amp; Flow Compound Valve</v>
      </c>
      <c r="E33" s="18" t="str">
        <f>'Master Data'!B10</f>
        <v>Forming</v>
      </c>
      <c r="F33" s="17">
        <f>'Master Data'!Q10</f>
        <v>1</v>
      </c>
      <c r="G33" s="17">
        <f>'Master Data'!S10</f>
        <v>2</v>
      </c>
      <c r="H33" s="17">
        <f>'Master Data'!T10</f>
        <v>0</v>
      </c>
      <c r="I33" s="6" t="str">
        <f>'Master Data'!W10</f>
        <v>🔴 วิกฤต! (ของหมด)</v>
      </c>
      <c r="J33" s="3">
        <f>'Master Data'!X10</f>
        <v>6</v>
      </c>
    </row>
    <row r="34" spans="3:10" ht="15" customHeight="1" x14ac:dyDescent="0.35">
      <c r="C34" s="18" t="str">
        <f>'Master Data'!H11</f>
        <v>PT-10</v>
      </c>
      <c r="D34" s="19" t="str">
        <f>'Master Data'!I11</f>
        <v>Stop Valve</v>
      </c>
      <c r="E34" s="18" t="str">
        <f>'Master Data'!B11</f>
        <v>Forming</v>
      </c>
      <c r="F34" s="17">
        <f>'Master Data'!Q11</f>
        <v>0</v>
      </c>
      <c r="G34" s="17">
        <f>'Master Data'!S11</f>
        <v>0</v>
      </c>
      <c r="H34" s="17">
        <f>'Master Data'!T11</f>
        <v>0</v>
      </c>
      <c r="I34" s="6" t="str">
        <f>'Master Data'!W11</f>
        <v>🔴 วิกฤต! (ของหมด)</v>
      </c>
      <c r="J34" s="3">
        <f>'Master Data'!X11</f>
        <v>6</v>
      </c>
    </row>
    <row r="35" spans="3:10" ht="15" customHeight="1" x14ac:dyDescent="0.35">
      <c r="C35" s="18" t="str">
        <f>'Master Data'!H12</f>
        <v>PT-11</v>
      </c>
      <c r="D35" s="19" t="str">
        <f>'Master Data'!I12</f>
        <v>Wiper Seal</v>
      </c>
      <c r="E35" s="18" t="str">
        <f>'Master Data'!B12</f>
        <v>Forming</v>
      </c>
      <c r="F35" s="17">
        <f>'Master Data'!Q12</f>
        <v>0</v>
      </c>
      <c r="G35" s="17">
        <f>'Master Data'!S12</f>
        <v>0</v>
      </c>
      <c r="H35" s="17">
        <f>'Master Data'!T12</f>
        <v>0</v>
      </c>
      <c r="I35" s="6" t="str">
        <f>'Master Data'!W12</f>
        <v>🔴 วิกฤต! (ของหมด)</v>
      </c>
      <c r="J35" s="3">
        <f>'Master Data'!X12</f>
        <v>6</v>
      </c>
    </row>
    <row r="36" spans="3:10" ht="15" customHeight="1" x14ac:dyDescent="0.35">
      <c r="C36" s="18" t="str">
        <f>'Master Data'!H13</f>
        <v>PT-12</v>
      </c>
      <c r="D36" s="19" t="str">
        <f>'Master Data'!I13</f>
        <v>Spindel Seal</v>
      </c>
      <c r="E36" s="18" t="str">
        <f>'Master Data'!B13</f>
        <v>Forming</v>
      </c>
      <c r="F36" s="17">
        <f>'Master Data'!Q13</f>
        <v>0</v>
      </c>
      <c r="G36" s="17">
        <f>'Master Data'!S13</f>
        <v>0</v>
      </c>
      <c r="H36" s="17">
        <f>'Master Data'!T13</f>
        <v>0</v>
      </c>
      <c r="I36" s="6" t="str">
        <f>'Master Data'!W13</f>
        <v>🔴 วิกฤต! (ของหมด)</v>
      </c>
      <c r="J36" s="3">
        <f>'Master Data'!X13</f>
        <v>6</v>
      </c>
    </row>
    <row r="37" spans="3:10" ht="15" customHeight="1" x14ac:dyDescent="0.35">
      <c r="C37" s="18" t="str">
        <f>'Master Data'!H14</f>
        <v>PT-13</v>
      </c>
      <c r="D37" s="19" t="str">
        <f>'Master Data'!I14</f>
        <v>O-Ring</v>
      </c>
      <c r="E37" s="18" t="str">
        <f>'Master Data'!B14</f>
        <v>Forming</v>
      </c>
      <c r="F37" s="17">
        <f>'Master Data'!Q14</f>
        <v>0</v>
      </c>
      <c r="G37" s="17">
        <f>'Master Data'!S14</f>
        <v>0</v>
      </c>
      <c r="H37" s="17">
        <f>'Master Data'!T14</f>
        <v>0</v>
      </c>
      <c r="I37" s="6" t="str">
        <f>'Master Data'!W14</f>
        <v>🔴 วิกฤต! (ของหมด)</v>
      </c>
      <c r="J37" s="3">
        <f>'Master Data'!X14</f>
        <v>6</v>
      </c>
    </row>
    <row r="38" spans="3:10" ht="15" customHeight="1" x14ac:dyDescent="0.35">
      <c r="C38" s="18" t="str">
        <f>'Master Data'!H15</f>
        <v>PT-14</v>
      </c>
      <c r="D38" s="19" t="str">
        <f>'Master Data'!I15</f>
        <v>O-Ring</v>
      </c>
      <c r="E38" s="18" t="str">
        <f>'Master Data'!B15</f>
        <v>Forming</v>
      </c>
      <c r="F38" s="17">
        <f>'Master Data'!Q15</f>
        <v>0</v>
      </c>
      <c r="G38" s="17">
        <f>'Master Data'!S15</f>
        <v>0</v>
      </c>
      <c r="H38" s="17">
        <f>'Master Data'!T15</f>
        <v>0</v>
      </c>
      <c r="I38" s="6" t="str">
        <f>'Master Data'!W15</f>
        <v>🔴 วิกฤต! (ของหมด)</v>
      </c>
      <c r="J38" s="3">
        <f>'Master Data'!X15</f>
        <v>3</v>
      </c>
    </row>
  </sheetData>
  <mergeCells count="1">
    <mergeCell ref="B2:M3"/>
  </mergeCells>
  <conditionalFormatting sqref="I25:I38">
    <cfRule type="containsText" dxfId="8" priority="1" operator="containsText" text="🟢 ปกติ">
      <formula>NOT(ISERROR(SEARCH("🟢 ปกติ",I25)))</formula>
    </cfRule>
    <cfRule type="containsText" dxfId="7" priority="2" operator="containsText" text="🟡 ควรสั่งซื้อ (ต่ำกว่า ROP)">
      <formula>NOT(ISERROR(SEARCH("🟡 ควรสั่งซื้อ (ต่ำกว่า ROP)",I25)))</formula>
    </cfRule>
    <cfRule type="containsText" dxfId="6" priority="3" operator="containsText" text="🔴 วิกฤต! (ของหมด)">
      <formula>NOT(ISERROR(SEARCH("🔴 วิกฤต! (ของหมด)",I25)))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1"/>
  <sheetViews>
    <sheetView showGridLines="0" zoomScale="80" zoomScaleNormal="80" workbookViewId="0">
      <selection activeCell="W6" sqref="W6"/>
    </sheetView>
  </sheetViews>
  <sheetFormatPr defaultRowHeight="14.4" x14ac:dyDescent="0.3"/>
  <cols>
    <col min="1" max="1" width="11" customWidth="1"/>
    <col min="2" max="2" width="15.44140625" customWidth="1"/>
    <col min="3" max="3" width="14" customWidth="1"/>
    <col min="4" max="4" width="11.5546875" customWidth="1"/>
    <col min="5" max="5" width="17.5546875" customWidth="1"/>
    <col min="6" max="6" width="19.21875" customWidth="1"/>
    <col min="7" max="7" width="18.21875" customWidth="1"/>
    <col min="8" max="8" width="12.33203125" customWidth="1"/>
    <col min="9" max="9" width="38.44140625" customWidth="1"/>
    <col min="10" max="10" width="16.5546875" customWidth="1"/>
    <col min="11" max="11" width="26" style="15" customWidth="1"/>
    <col min="12" max="12" width="12.33203125" style="15" customWidth="1"/>
    <col min="13" max="13" width="11" customWidth="1"/>
    <col min="14" max="14" width="20" style="15" customWidth="1"/>
    <col min="15" max="15" width="17.33203125" style="15" customWidth="1"/>
    <col min="16" max="16" width="12.88671875" style="15" customWidth="1"/>
    <col min="17" max="17" width="12.5546875" style="15" customWidth="1"/>
    <col min="18" max="18" width="25.109375" style="15" customWidth="1"/>
    <col min="19" max="19" width="22.77734375" style="15" customWidth="1"/>
    <col min="20" max="20" width="21.21875" style="15" customWidth="1"/>
    <col min="21" max="21" width="17.77734375" style="15" customWidth="1"/>
    <col min="22" max="22" width="16" customWidth="1"/>
    <col min="23" max="23" width="23" customWidth="1"/>
    <col min="24" max="24" width="26.6640625" customWidth="1"/>
    <col min="25" max="25" width="25.109375" customWidth="1"/>
    <col min="26" max="26" width="19.88671875" style="15" customWidth="1"/>
    <col min="27" max="27" width="17.33203125" style="15" customWidth="1"/>
    <col min="28" max="28" width="27" style="15" customWidth="1"/>
  </cols>
  <sheetData>
    <row r="1" spans="1:31" ht="31.95" customHeight="1" x14ac:dyDescent="0.3">
      <c r="A1" s="5" t="s">
        <v>21</v>
      </c>
      <c r="B1" s="5" t="s">
        <v>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15</v>
      </c>
      <c r="I1" s="5" t="s">
        <v>16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17</v>
      </c>
      <c r="R1" s="5" t="s">
        <v>34</v>
      </c>
      <c r="S1" s="5" t="s">
        <v>35</v>
      </c>
      <c r="T1" s="5" t="s">
        <v>19</v>
      </c>
      <c r="U1" s="5" t="s">
        <v>36</v>
      </c>
      <c r="V1" s="5" t="s">
        <v>20</v>
      </c>
      <c r="W1" s="5" t="s">
        <v>2</v>
      </c>
      <c r="X1" s="5" t="s">
        <v>37</v>
      </c>
      <c r="Y1" s="5" t="s">
        <v>38</v>
      </c>
      <c r="Z1" s="5" t="s">
        <v>39</v>
      </c>
      <c r="AA1" s="5" t="s">
        <v>40</v>
      </c>
      <c r="AB1" s="5" t="s">
        <v>41</v>
      </c>
    </row>
    <row r="2" spans="1:31" ht="15" customHeight="1" x14ac:dyDescent="0.3">
      <c r="A2" s="26">
        <v>1</v>
      </c>
      <c r="B2" s="25" t="s">
        <v>7</v>
      </c>
      <c r="C2" s="25" t="s">
        <v>42</v>
      </c>
      <c r="D2" s="26" t="s">
        <v>43</v>
      </c>
      <c r="E2" s="26" t="s">
        <v>44</v>
      </c>
      <c r="F2" s="26" t="s">
        <v>45</v>
      </c>
      <c r="G2" s="25" t="s">
        <v>46</v>
      </c>
      <c r="H2" s="26" t="s">
        <v>47</v>
      </c>
      <c r="I2" s="25" t="s">
        <v>48</v>
      </c>
      <c r="J2" s="26" t="s">
        <v>49</v>
      </c>
      <c r="K2" s="26" t="s">
        <v>50</v>
      </c>
      <c r="L2" s="26" t="s">
        <v>51</v>
      </c>
      <c r="M2" s="26" t="s">
        <v>52</v>
      </c>
      <c r="N2" s="27">
        <v>0</v>
      </c>
      <c r="O2" s="27" t="s">
        <v>53</v>
      </c>
      <c r="P2" s="28">
        <v>2</v>
      </c>
      <c r="Q2" s="28">
        <v>1</v>
      </c>
      <c r="R2" s="28">
        <f t="shared" ref="R2:R33" si="0">ROUND(Q2*0.5,0)</f>
        <v>1</v>
      </c>
      <c r="S2" s="28">
        <f t="shared" ref="S2:S33" si="1">Q2+R2</f>
        <v>2</v>
      </c>
      <c r="T2" s="28">
        <f>SUMIF('Stock In Log'!C:C, H2, 'Stock In Log'!D:D) - SUMIF('Stock Out Log'!C:C, H2, 'Stock Out Log'!D:D)</f>
        <v>0</v>
      </c>
      <c r="U2" s="27">
        <f t="shared" ref="U2:U33" si="2">N2*T2</f>
        <v>0</v>
      </c>
      <c r="V2" s="29" t="str">
        <f t="shared" ref="V2:V33" si="3">IF(T2&lt;=0,"ควรสั่งซื้อ",
IF(T2&lt;=S2,"ควรสั่งซื้อ","ปกติ"))</f>
        <v>ควรสั่งซื้อ</v>
      </c>
      <c r="W2" s="26" t="str">
        <f t="shared" ref="W2:W33" si="4">IF(T2&lt;=0, "🔴 วิกฤต! (ของหมด)", IF(T2&lt;=S2, "🟡 ควรสั่งซื้อ (ต่ำกว่า ROP)", "🟢 ปกติ"))</f>
        <v>🔴 วิกฤต! (ของหมด)</v>
      </c>
      <c r="X2" s="26">
        <v>6</v>
      </c>
      <c r="Y2" s="25" t="s">
        <v>54</v>
      </c>
      <c r="Z2" s="28">
        <v>0</v>
      </c>
      <c r="AA2" s="26"/>
      <c r="AB2" s="26"/>
      <c r="AC2" s="30"/>
      <c r="AD2" s="13"/>
      <c r="AE2" s="14"/>
    </row>
    <row r="3" spans="1:31" ht="15" customHeight="1" x14ac:dyDescent="0.3">
      <c r="A3" s="26">
        <v>2</v>
      </c>
      <c r="B3" s="25" t="s">
        <v>7</v>
      </c>
      <c r="C3" s="25" t="s">
        <v>42</v>
      </c>
      <c r="D3" s="26" t="s">
        <v>55</v>
      </c>
      <c r="E3" s="26" t="s">
        <v>44</v>
      </c>
      <c r="F3" s="26" t="s">
        <v>56</v>
      </c>
      <c r="G3" s="25" t="s">
        <v>46</v>
      </c>
      <c r="H3" s="26" t="s">
        <v>57</v>
      </c>
      <c r="I3" s="25" t="s">
        <v>58</v>
      </c>
      <c r="J3" s="26" t="s">
        <v>49</v>
      </c>
      <c r="K3" s="26"/>
      <c r="L3" s="26" t="s">
        <v>51</v>
      </c>
      <c r="M3" s="26" t="s">
        <v>52</v>
      </c>
      <c r="N3" s="27">
        <v>0</v>
      </c>
      <c r="O3" s="27" t="s">
        <v>59</v>
      </c>
      <c r="P3" s="28">
        <v>2</v>
      </c>
      <c r="Q3" s="28">
        <v>1</v>
      </c>
      <c r="R3" s="28">
        <f t="shared" si="0"/>
        <v>1</v>
      </c>
      <c r="S3" s="28">
        <f t="shared" si="1"/>
        <v>2</v>
      </c>
      <c r="T3" s="28">
        <f>SUMIF('Stock In Log'!C:C, H3, 'Stock In Log'!D:D) - SUMIF('Stock Out Log'!C:C, H3, 'Stock Out Log'!D:D)</f>
        <v>0</v>
      </c>
      <c r="U3" s="27">
        <f t="shared" si="2"/>
        <v>0</v>
      </c>
      <c r="V3" s="29" t="str">
        <f t="shared" si="3"/>
        <v>ควรสั่งซื้อ</v>
      </c>
      <c r="W3" s="26" t="str">
        <f t="shared" si="4"/>
        <v>🔴 วิกฤต! (ของหมด)</v>
      </c>
      <c r="X3" s="26">
        <v>6</v>
      </c>
      <c r="Y3" s="25" t="s">
        <v>54</v>
      </c>
      <c r="Z3" s="28">
        <v>0</v>
      </c>
      <c r="AA3" s="26"/>
      <c r="AB3" s="26"/>
      <c r="AC3" s="31"/>
    </row>
    <row r="4" spans="1:31" ht="15" customHeight="1" x14ac:dyDescent="0.3">
      <c r="A4" s="26">
        <v>3</v>
      </c>
      <c r="B4" s="25" t="s">
        <v>7</v>
      </c>
      <c r="C4" s="25" t="s">
        <v>42</v>
      </c>
      <c r="D4" s="26" t="s">
        <v>55</v>
      </c>
      <c r="E4" s="26" t="s">
        <v>44</v>
      </c>
      <c r="F4" s="26" t="s">
        <v>60</v>
      </c>
      <c r="G4" s="25" t="s">
        <v>46</v>
      </c>
      <c r="H4" s="26" t="s">
        <v>61</v>
      </c>
      <c r="I4" s="25" t="s">
        <v>62</v>
      </c>
      <c r="J4" s="26" t="s">
        <v>49</v>
      </c>
      <c r="K4" s="26"/>
      <c r="L4" s="26" t="s">
        <v>51</v>
      </c>
      <c r="M4" s="26" t="s">
        <v>52</v>
      </c>
      <c r="N4" s="27">
        <v>0</v>
      </c>
      <c r="O4" s="27" t="s">
        <v>63</v>
      </c>
      <c r="P4" s="28">
        <v>2</v>
      </c>
      <c r="Q4" s="28">
        <v>1</v>
      </c>
      <c r="R4" s="28">
        <f t="shared" si="0"/>
        <v>1</v>
      </c>
      <c r="S4" s="28">
        <f t="shared" si="1"/>
        <v>2</v>
      </c>
      <c r="T4" s="28">
        <f>SUMIF('Stock In Log'!C:C, H4, 'Stock In Log'!D:D) - SUMIF('Stock Out Log'!C:C, H4, 'Stock Out Log'!D:D)</f>
        <v>0</v>
      </c>
      <c r="U4" s="27">
        <f t="shared" si="2"/>
        <v>0</v>
      </c>
      <c r="V4" s="29" t="str">
        <f t="shared" si="3"/>
        <v>ควรสั่งซื้อ</v>
      </c>
      <c r="W4" s="26" t="str">
        <f t="shared" si="4"/>
        <v>🔴 วิกฤต! (ของหมด)</v>
      </c>
      <c r="X4" s="26">
        <v>6</v>
      </c>
      <c r="Y4" s="25" t="s">
        <v>54</v>
      </c>
      <c r="Z4" s="28">
        <v>0</v>
      </c>
      <c r="AA4" s="26"/>
      <c r="AB4" s="26"/>
      <c r="AC4" s="14"/>
    </row>
    <row r="5" spans="1:31" ht="15" customHeight="1" x14ac:dyDescent="0.3">
      <c r="A5" s="26">
        <v>4</v>
      </c>
      <c r="B5" s="25" t="s">
        <v>7</v>
      </c>
      <c r="C5" s="25" t="s">
        <v>42</v>
      </c>
      <c r="D5" s="26" t="s">
        <v>64</v>
      </c>
      <c r="E5" s="26"/>
      <c r="F5" s="26"/>
      <c r="G5" s="25" t="s">
        <v>46</v>
      </c>
      <c r="H5" s="26" t="s">
        <v>65</v>
      </c>
      <c r="I5" s="25" t="s">
        <v>66</v>
      </c>
      <c r="J5" s="26" t="s">
        <v>49</v>
      </c>
      <c r="K5" s="26" t="s">
        <v>67</v>
      </c>
      <c r="L5" s="26" t="s">
        <v>51</v>
      </c>
      <c r="M5" s="26" t="s">
        <v>52</v>
      </c>
      <c r="N5" s="27">
        <v>0</v>
      </c>
      <c r="O5" s="27" t="s">
        <v>68</v>
      </c>
      <c r="P5" s="28">
        <v>2</v>
      </c>
      <c r="Q5" s="28">
        <v>1</v>
      </c>
      <c r="R5" s="28">
        <f t="shared" si="0"/>
        <v>1</v>
      </c>
      <c r="S5" s="28">
        <f t="shared" si="1"/>
        <v>2</v>
      </c>
      <c r="T5" s="28">
        <f>SUMIF('Stock In Log'!C:C, H5, 'Stock In Log'!D:D) - SUMIF('Stock Out Log'!C:C, H5, 'Stock Out Log'!D:D)</f>
        <v>0</v>
      </c>
      <c r="U5" s="27">
        <f t="shared" si="2"/>
        <v>0</v>
      </c>
      <c r="V5" s="29" t="str">
        <f t="shared" si="3"/>
        <v>ควรสั่งซื้อ</v>
      </c>
      <c r="W5" s="26" t="str">
        <f t="shared" si="4"/>
        <v>🔴 วิกฤต! (ของหมด)</v>
      </c>
      <c r="X5" s="26">
        <v>6</v>
      </c>
      <c r="Y5" s="25" t="s">
        <v>54</v>
      </c>
      <c r="Z5" s="28">
        <v>7</v>
      </c>
      <c r="AA5" s="26" t="s">
        <v>69</v>
      </c>
      <c r="AB5" s="26" t="s">
        <v>69</v>
      </c>
    </row>
    <row r="6" spans="1:31" ht="15" customHeight="1" x14ac:dyDescent="0.3">
      <c r="A6" s="26">
        <v>5</v>
      </c>
      <c r="B6" s="25" t="s">
        <v>7</v>
      </c>
      <c r="C6" s="25" t="s">
        <v>42</v>
      </c>
      <c r="D6" s="26" t="s">
        <v>64</v>
      </c>
      <c r="E6" s="26"/>
      <c r="F6" s="26"/>
      <c r="G6" s="25" t="s">
        <v>46</v>
      </c>
      <c r="H6" s="26" t="s">
        <v>70</v>
      </c>
      <c r="I6" s="25" t="s">
        <v>71</v>
      </c>
      <c r="J6" s="26" t="s">
        <v>49</v>
      </c>
      <c r="K6" s="26" t="s">
        <v>67</v>
      </c>
      <c r="L6" s="26" t="s">
        <v>51</v>
      </c>
      <c r="M6" s="26" t="s">
        <v>52</v>
      </c>
      <c r="N6" s="27">
        <v>0</v>
      </c>
      <c r="O6" s="27" t="s">
        <v>72</v>
      </c>
      <c r="P6" s="28">
        <v>2</v>
      </c>
      <c r="Q6" s="28">
        <v>1</v>
      </c>
      <c r="R6" s="28">
        <f t="shared" si="0"/>
        <v>1</v>
      </c>
      <c r="S6" s="28">
        <f t="shared" si="1"/>
        <v>2</v>
      </c>
      <c r="T6" s="28">
        <f>SUMIF('Stock In Log'!C:C, H6, 'Stock In Log'!D:D) - SUMIF('Stock Out Log'!C:C, H6, 'Stock Out Log'!D:D)</f>
        <v>1</v>
      </c>
      <c r="U6" s="27">
        <f t="shared" si="2"/>
        <v>0</v>
      </c>
      <c r="V6" s="29" t="str">
        <f t="shared" si="3"/>
        <v>ควรสั่งซื้อ</v>
      </c>
      <c r="W6" s="26" t="str">
        <f t="shared" si="4"/>
        <v>🟡 ควรสั่งซื้อ (ต่ำกว่า ROP)</v>
      </c>
      <c r="X6" s="26">
        <v>6</v>
      </c>
      <c r="Y6" s="25" t="s">
        <v>54</v>
      </c>
      <c r="Z6" s="28">
        <v>7</v>
      </c>
      <c r="AA6" s="26" t="s">
        <v>69</v>
      </c>
      <c r="AB6" s="26" t="s">
        <v>69</v>
      </c>
      <c r="AC6" s="30"/>
    </row>
    <row r="7" spans="1:31" ht="15" customHeight="1" x14ac:dyDescent="0.3">
      <c r="A7" s="26">
        <v>6</v>
      </c>
      <c r="B7" s="25" t="s">
        <v>7</v>
      </c>
      <c r="C7" s="25" t="s">
        <v>42</v>
      </c>
      <c r="D7" s="26" t="s">
        <v>64</v>
      </c>
      <c r="E7" s="26"/>
      <c r="F7" s="26"/>
      <c r="G7" s="25" t="s">
        <v>46</v>
      </c>
      <c r="H7" s="26" t="s">
        <v>73</v>
      </c>
      <c r="I7" s="25" t="s">
        <v>74</v>
      </c>
      <c r="J7" s="26" t="s">
        <v>49</v>
      </c>
      <c r="K7" s="26" t="s">
        <v>67</v>
      </c>
      <c r="L7" s="26" t="s">
        <v>51</v>
      </c>
      <c r="M7" s="26" t="s">
        <v>52</v>
      </c>
      <c r="N7" s="27">
        <v>0</v>
      </c>
      <c r="O7" s="27" t="s">
        <v>75</v>
      </c>
      <c r="P7" s="28">
        <v>2</v>
      </c>
      <c r="Q7" s="28">
        <v>1</v>
      </c>
      <c r="R7" s="28">
        <f t="shared" si="0"/>
        <v>1</v>
      </c>
      <c r="S7" s="28">
        <f t="shared" si="1"/>
        <v>2</v>
      </c>
      <c r="T7" s="28">
        <f>SUMIF('Stock In Log'!C:C, H7, 'Stock In Log'!D:D) - SUMIF('Stock Out Log'!C:C, H7, 'Stock Out Log'!D:D)</f>
        <v>1</v>
      </c>
      <c r="U7" s="27">
        <f t="shared" si="2"/>
        <v>0</v>
      </c>
      <c r="V7" s="29" t="str">
        <f t="shared" si="3"/>
        <v>ควรสั่งซื้อ</v>
      </c>
      <c r="W7" s="26" t="str">
        <f t="shared" si="4"/>
        <v>🟡 ควรสั่งซื้อ (ต่ำกว่า ROP)</v>
      </c>
      <c r="X7" s="26">
        <v>6</v>
      </c>
      <c r="Y7" s="25" t="s">
        <v>54</v>
      </c>
      <c r="Z7" s="28">
        <v>7</v>
      </c>
      <c r="AA7" s="26" t="s">
        <v>69</v>
      </c>
      <c r="AB7" s="26" t="s">
        <v>69</v>
      </c>
    </row>
    <row r="8" spans="1:31" ht="15" customHeight="1" x14ac:dyDescent="0.3">
      <c r="A8" s="26">
        <v>7</v>
      </c>
      <c r="B8" s="25" t="s">
        <v>7</v>
      </c>
      <c r="C8" s="25" t="s">
        <v>42</v>
      </c>
      <c r="D8" s="26" t="s">
        <v>64</v>
      </c>
      <c r="E8" s="26"/>
      <c r="F8" s="26"/>
      <c r="G8" s="25" t="s">
        <v>46</v>
      </c>
      <c r="H8" s="26" t="s">
        <v>76</v>
      </c>
      <c r="I8" s="25" t="s">
        <v>77</v>
      </c>
      <c r="J8" s="26" t="s">
        <v>49</v>
      </c>
      <c r="K8" s="26" t="s">
        <v>67</v>
      </c>
      <c r="L8" s="26" t="s">
        <v>78</v>
      </c>
      <c r="M8" s="26" t="s">
        <v>52</v>
      </c>
      <c r="N8" s="27">
        <v>0</v>
      </c>
      <c r="O8" s="27" t="s">
        <v>79</v>
      </c>
      <c r="P8" s="28">
        <v>2</v>
      </c>
      <c r="Q8" s="28">
        <v>1</v>
      </c>
      <c r="R8" s="28">
        <f t="shared" si="0"/>
        <v>1</v>
      </c>
      <c r="S8" s="28">
        <f t="shared" si="1"/>
        <v>2</v>
      </c>
      <c r="T8" s="28">
        <f>SUMIF('Stock In Log'!C:C, H8, 'Stock In Log'!D:D) - SUMIF('Stock Out Log'!C:C, H8, 'Stock Out Log'!D:D)</f>
        <v>0</v>
      </c>
      <c r="U8" s="27">
        <f t="shared" si="2"/>
        <v>0</v>
      </c>
      <c r="V8" s="29" t="str">
        <f t="shared" si="3"/>
        <v>ควรสั่งซื้อ</v>
      </c>
      <c r="W8" s="26" t="str">
        <f t="shared" si="4"/>
        <v>🔴 วิกฤต! (ของหมด)</v>
      </c>
      <c r="X8" s="26">
        <v>6</v>
      </c>
      <c r="Y8" s="25" t="s">
        <v>54</v>
      </c>
      <c r="Z8" s="28">
        <v>7</v>
      </c>
      <c r="AA8" s="26" t="s">
        <v>69</v>
      </c>
      <c r="AB8" s="26" t="s">
        <v>69</v>
      </c>
      <c r="AC8" s="30"/>
    </row>
    <row r="9" spans="1:31" ht="15" customHeight="1" x14ac:dyDescent="0.3">
      <c r="A9" s="26">
        <v>8</v>
      </c>
      <c r="B9" s="25" t="s">
        <v>7</v>
      </c>
      <c r="C9" s="25" t="s">
        <v>42</v>
      </c>
      <c r="D9" s="26" t="s">
        <v>64</v>
      </c>
      <c r="E9" s="26"/>
      <c r="F9" s="26"/>
      <c r="G9" s="25" t="s">
        <v>46</v>
      </c>
      <c r="H9" s="26" t="s">
        <v>80</v>
      </c>
      <c r="I9" s="25" t="s">
        <v>77</v>
      </c>
      <c r="J9" s="26" t="s">
        <v>49</v>
      </c>
      <c r="K9" s="26" t="s">
        <v>67</v>
      </c>
      <c r="L9" s="26" t="s">
        <v>78</v>
      </c>
      <c r="M9" s="26" t="s">
        <v>52</v>
      </c>
      <c r="N9" s="27">
        <v>0</v>
      </c>
      <c r="O9" s="27" t="s">
        <v>81</v>
      </c>
      <c r="P9" s="28">
        <v>2</v>
      </c>
      <c r="Q9" s="28">
        <v>1</v>
      </c>
      <c r="R9" s="28">
        <f t="shared" si="0"/>
        <v>1</v>
      </c>
      <c r="S9" s="28">
        <f t="shared" si="1"/>
        <v>2</v>
      </c>
      <c r="T9" s="28">
        <f>SUMIF('Stock In Log'!C:C, H9, 'Stock In Log'!D:D) - SUMIF('Stock Out Log'!C:C, H9, 'Stock Out Log'!D:D)</f>
        <v>0</v>
      </c>
      <c r="U9" s="27">
        <f t="shared" si="2"/>
        <v>0</v>
      </c>
      <c r="V9" s="29" t="str">
        <f t="shared" si="3"/>
        <v>ควรสั่งซื้อ</v>
      </c>
      <c r="W9" s="26" t="str">
        <f t="shared" si="4"/>
        <v>🔴 วิกฤต! (ของหมด)</v>
      </c>
      <c r="X9" s="26">
        <v>6</v>
      </c>
      <c r="Y9" s="25" t="s">
        <v>54</v>
      </c>
      <c r="Z9" s="28">
        <v>7</v>
      </c>
      <c r="AA9" s="26" t="s">
        <v>69</v>
      </c>
      <c r="AB9" s="26" t="s">
        <v>69</v>
      </c>
    </row>
    <row r="10" spans="1:31" ht="15" customHeight="1" x14ac:dyDescent="0.3">
      <c r="A10" s="26">
        <v>9</v>
      </c>
      <c r="B10" s="25" t="s">
        <v>7</v>
      </c>
      <c r="C10" s="25" t="s">
        <v>42</v>
      </c>
      <c r="D10" s="26" t="s">
        <v>64</v>
      </c>
      <c r="E10" s="26"/>
      <c r="F10" s="26"/>
      <c r="G10" s="25" t="s">
        <v>46</v>
      </c>
      <c r="H10" s="26" t="s">
        <v>82</v>
      </c>
      <c r="I10" s="25" t="s">
        <v>83</v>
      </c>
      <c r="J10" s="26" t="s">
        <v>49</v>
      </c>
      <c r="K10" s="26" t="s">
        <v>67</v>
      </c>
      <c r="L10" s="26" t="s">
        <v>84</v>
      </c>
      <c r="M10" s="26" t="s">
        <v>52</v>
      </c>
      <c r="N10" s="27">
        <v>31000</v>
      </c>
      <c r="O10" s="27" t="s">
        <v>85</v>
      </c>
      <c r="P10" s="28">
        <v>2</v>
      </c>
      <c r="Q10" s="28">
        <v>1</v>
      </c>
      <c r="R10" s="28">
        <f t="shared" si="0"/>
        <v>1</v>
      </c>
      <c r="S10" s="28">
        <f t="shared" si="1"/>
        <v>2</v>
      </c>
      <c r="T10" s="28">
        <f>SUMIF('Stock In Log'!C:C, H10, 'Stock In Log'!D:D) - SUMIF('Stock Out Log'!C:C, H10, 'Stock Out Log'!D:D)</f>
        <v>0</v>
      </c>
      <c r="U10" s="27">
        <f t="shared" si="2"/>
        <v>0</v>
      </c>
      <c r="V10" s="29" t="str">
        <f t="shared" si="3"/>
        <v>ควรสั่งซื้อ</v>
      </c>
      <c r="W10" s="26" t="str">
        <f t="shared" si="4"/>
        <v>🔴 วิกฤต! (ของหมด)</v>
      </c>
      <c r="X10" s="26">
        <v>6</v>
      </c>
      <c r="Y10" s="25" t="s">
        <v>54</v>
      </c>
      <c r="Z10" s="28">
        <v>7</v>
      </c>
      <c r="AA10" s="26" t="s">
        <v>69</v>
      </c>
      <c r="AB10" s="26" t="s">
        <v>69</v>
      </c>
    </row>
    <row r="11" spans="1:31" ht="15" customHeight="1" x14ac:dyDescent="0.3">
      <c r="A11" s="26">
        <v>10</v>
      </c>
      <c r="B11" s="25" t="s">
        <v>7</v>
      </c>
      <c r="C11" s="25" t="s">
        <v>42</v>
      </c>
      <c r="D11" s="26" t="s">
        <v>64</v>
      </c>
      <c r="E11" s="26"/>
      <c r="F11" s="26"/>
      <c r="G11" s="25" t="s">
        <v>46</v>
      </c>
      <c r="H11" s="26" t="s">
        <v>86</v>
      </c>
      <c r="I11" s="25" t="s">
        <v>87</v>
      </c>
      <c r="J11" s="26" t="s">
        <v>49</v>
      </c>
      <c r="K11" s="26" t="s">
        <v>67</v>
      </c>
      <c r="L11" s="26" t="s">
        <v>84</v>
      </c>
      <c r="M11" s="26" t="s">
        <v>52</v>
      </c>
      <c r="N11" s="27">
        <v>0</v>
      </c>
      <c r="O11" s="27" t="s">
        <v>88</v>
      </c>
      <c r="P11" s="28">
        <v>0</v>
      </c>
      <c r="Q11" s="28">
        <v>0</v>
      </c>
      <c r="R11" s="28">
        <f t="shared" si="0"/>
        <v>0</v>
      </c>
      <c r="S11" s="28">
        <f t="shared" si="1"/>
        <v>0</v>
      </c>
      <c r="T11" s="28">
        <f>SUMIF('Stock In Log'!C:C, H11, 'Stock In Log'!D:D) - SUMIF('Stock Out Log'!C:C, H11, 'Stock Out Log'!D:D)</f>
        <v>0</v>
      </c>
      <c r="U11" s="27">
        <f t="shared" si="2"/>
        <v>0</v>
      </c>
      <c r="V11" s="29" t="str">
        <f t="shared" si="3"/>
        <v>ควรสั่งซื้อ</v>
      </c>
      <c r="W11" s="26" t="str">
        <f t="shared" si="4"/>
        <v>🔴 วิกฤต! (ของหมด)</v>
      </c>
      <c r="X11" s="26">
        <v>6</v>
      </c>
      <c r="Y11" s="25" t="s">
        <v>54</v>
      </c>
      <c r="Z11" s="28">
        <v>0</v>
      </c>
      <c r="AA11" s="26"/>
      <c r="AB11" s="26"/>
    </row>
    <row r="12" spans="1:31" ht="15" customHeight="1" x14ac:dyDescent="0.3">
      <c r="A12" s="26">
        <v>11</v>
      </c>
      <c r="B12" s="25" t="s">
        <v>7</v>
      </c>
      <c r="C12" s="25" t="s">
        <v>42</v>
      </c>
      <c r="D12" s="26" t="s">
        <v>64</v>
      </c>
      <c r="E12" s="26"/>
      <c r="F12" s="26"/>
      <c r="G12" s="25" t="s">
        <v>89</v>
      </c>
      <c r="H12" s="26" t="s">
        <v>90</v>
      </c>
      <c r="I12" s="25" t="s">
        <v>91</v>
      </c>
      <c r="J12" s="26" t="s">
        <v>49</v>
      </c>
      <c r="K12" s="26"/>
      <c r="L12" s="26"/>
      <c r="M12" s="26" t="s">
        <v>52</v>
      </c>
      <c r="N12" s="27">
        <v>0</v>
      </c>
      <c r="O12" s="27" t="s">
        <v>92</v>
      </c>
      <c r="P12" s="28">
        <v>0</v>
      </c>
      <c r="Q12" s="28">
        <v>0</v>
      </c>
      <c r="R12" s="28">
        <f t="shared" si="0"/>
        <v>0</v>
      </c>
      <c r="S12" s="28">
        <f t="shared" si="1"/>
        <v>0</v>
      </c>
      <c r="T12" s="28">
        <f>SUMIF('Stock In Log'!C:C, H12, 'Stock In Log'!D:D) - SUMIF('Stock Out Log'!C:C, H12, 'Stock Out Log'!D:D)</f>
        <v>0</v>
      </c>
      <c r="U12" s="27">
        <f t="shared" si="2"/>
        <v>0</v>
      </c>
      <c r="V12" s="29" t="str">
        <f t="shared" si="3"/>
        <v>ควรสั่งซื้อ</v>
      </c>
      <c r="W12" s="26" t="str">
        <f t="shared" si="4"/>
        <v>🔴 วิกฤต! (ของหมด)</v>
      </c>
      <c r="X12" s="26">
        <v>6</v>
      </c>
      <c r="Y12" s="25" t="s">
        <v>54</v>
      </c>
      <c r="Z12" s="28">
        <v>0</v>
      </c>
      <c r="AA12" s="26"/>
      <c r="AB12" s="26"/>
    </row>
    <row r="13" spans="1:31" ht="15" customHeight="1" x14ac:dyDescent="0.3">
      <c r="A13" s="26">
        <v>12</v>
      </c>
      <c r="B13" s="25" t="s">
        <v>7</v>
      </c>
      <c r="C13" s="25" t="s">
        <v>42</v>
      </c>
      <c r="D13" s="26" t="s">
        <v>64</v>
      </c>
      <c r="E13" s="26"/>
      <c r="F13" s="26"/>
      <c r="G13" s="25" t="s">
        <v>89</v>
      </c>
      <c r="H13" s="26" t="s">
        <v>93</v>
      </c>
      <c r="I13" s="25" t="s">
        <v>94</v>
      </c>
      <c r="J13" s="26" t="s">
        <v>49</v>
      </c>
      <c r="K13" s="26"/>
      <c r="L13" s="26"/>
      <c r="M13" s="26" t="s">
        <v>52</v>
      </c>
      <c r="N13" s="27">
        <v>0</v>
      </c>
      <c r="O13" s="27" t="s">
        <v>95</v>
      </c>
      <c r="P13" s="28">
        <v>0</v>
      </c>
      <c r="Q13" s="28">
        <v>0</v>
      </c>
      <c r="R13" s="28">
        <f t="shared" si="0"/>
        <v>0</v>
      </c>
      <c r="S13" s="28">
        <f t="shared" si="1"/>
        <v>0</v>
      </c>
      <c r="T13" s="28">
        <f>SUMIF('Stock In Log'!C:C, H13, 'Stock In Log'!D:D) - SUMIF('Stock Out Log'!C:C, H13, 'Stock Out Log'!D:D)</f>
        <v>0</v>
      </c>
      <c r="U13" s="27">
        <f t="shared" si="2"/>
        <v>0</v>
      </c>
      <c r="V13" s="29" t="str">
        <f t="shared" si="3"/>
        <v>ควรสั่งซื้อ</v>
      </c>
      <c r="W13" s="26" t="str">
        <f t="shared" si="4"/>
        <v>🔴 วิกฤต! (ของหมด)</v>
      </c>
      <c r="X13" s="26">
        <v>6</v>
      </c>
      <c r="Y13" s="25" t="s">
        <v>54</v>
      </c>
      <c r="Z13" s="28">
        <v>0</v>
      </c>
      <c r="AA13" s="26"/>
      <c r="AB13" s="26"/>
    </row>
    <row r="14" spans="1:31" ht="15" customHeight="1" x14ac:dyDescent="0.3">
      <c r="A14" s="26">
        <v>13</v>
      </c>
      <c r="B14" s="25" t="s">
        <v>7</v>
      </c>
      <c r="C14" s="25" t="s">
        <v>42</v>
      </c>
      <c r="D14" s="26" t="s">
        <v>64</v>
      </c>
      <c r="E14" s="26"/>
      <c r="F14" s="26"/>
      <c r="G14" s="25" t="s">
        <v>89</v>
      </c>
      <c r="H14" s="26" t="s">
        <v>96</v>
      </c>
      <c r="I14" s="25" t="s">
        <v>97</v>
      </c>
      <c r="J14" s="26" t="s">
        <v>49</v>
      </c>
      <c r="K14" s="26"/>
      <c r="L14" s="26"/>
      <c r="M14" s="26" t="s">
        <v>52</v>
      </c>
      <c r="N14" s="27">
        <v>0</v>
      </c>
      <c r="O14" s="27" t="s">
        <v>98</v>
      </c>
      <c r="P14" s="28">
        <v>0</v>
      </c>
      <c r="Q14" s="28">
        <v>0</v>
      </c>
      <c r="R14" s="28">
        <f t="shared" si="0"/>
        <v>0</v>
      </c>
      <c r="S14" s="28">
        <f t="shared" si="1"/>
        <v>0</v>
      </c>
      <c r="T14" s="28">
        <f>SUMIF('Stock In Log'!C:C, H14, 'Stock In Log'!D:D) - SUMIF('Stock Out Log'!C:C, H14, 'Stock Out Log'!D:D)</f>
        <v>0</v>
      </c>
      <c r="U14" s="27">
        <f t="shared" si="2"/>
        <v>0</v>
      </c>
      <c r="V14" s="29" t="str">
        <f t="shared" si="3"/>
        <v>ควรสั่งซื้อ</v>
      </c>
      <c r="W14" s="26" t="str">
        <f t="shared" si="4"/>
        <v>🔴 วิกฤต! (ของหมด)</v>
      </c>
      <c r="X14" s="26">
        <v>6</v>
      </c>
      <c r="Y14" s="25" t="s">
        <v>54</v>
      </c>
      <c r="Z14" s="28">
        <v>0</v>
      </c>
      <c r="AA14" s="26"/>
      <c r="AB14" s="26"/>
    </row>
    <row r="15" spans="1:31" ht="15" customHeight="1" x14ac:dyDescent="0.3">
      <c r="A15" s="26">
        <v>14</v>
      </c>
      <c r="B15" s="25" t="s">
        <v>7</v>
      </c>
      <c r="C15" s="25" t="s">
        <v>42</v>
      </c>
      <c r="D15" s="26" t="s">
        <v>64</v>
      </c>
      <c r="E15" s="26"/>
      <c r="F15" s="26"/>
      <c r="G15" s="25" t="s">
        <v>89</v>
      </c>
      <c r="H15" s="26" t="s">
        <v>99</v>
      </c>
      <c r="I15" s="25" t="s">
        <v>97</v>
      </c>
      <c r="J15" s="26"/>
      <c r="K15" s="26"/>
      <c r="L15" s="26"/>
      <c r="M15" s="26"/>
      <c r="N15" s="27">
        <v>0</v>
      </c>
      <c r="O15" s="27" t="s">
        <v>100</v>
      </c>
      <c r="P15" s="28">
        <v>0</v>
      </c>
      <c r="Q15" s="28">
        <v>0</v>
      </c>
      <c r="R15" s="28">
        <f t="shared" si="0"/>
        <v>0</v>
      </c>
      <c r="S15" s="28">
        <f t="shared" si="1"/>
        <v>0</v>
      </c>
      <c r="T15" s="28">
        <f>SUMIF('Stock In Log'!C:C, H15, 'Stock In Log'!D:D) - SUMIF('Stock Out Log'!C:C, H15, 'Stock Out Log'!D:D)</f>
        <v>0</v>
      </c>
      <c r="U15" s="27">
        <f t="shared" si="2"/>
        <v>0</v>
      </c>
      <c r="V15" s="29" t="str">
        <f t="shared" si="3"/>
        <v>ควรสั่งซื้อ</v>
      </c>
      <c r="W15" s="26" t="str">
        <f t="shared" si="4"/>
        <v>🔴 วิกฤต! (ของหมด)</v>
      </c>
      <c r="X15" s="26">
        <v>3</v>
      </c>
      <c r="Y15" s="25" t="s">
        <v>101</v>
      </c>
      <c r="Z15" s="28">
        <v>0</v>
      </c>
      <c r="AA15" s="26"/>
      <c r="AB15" s="26"/>
    </row>
    <row r="16" spans="1:31" ht="15" customHeight="1" x14ac:dyDescent="0.3">
      <c r="A16" s="26">
        <v>15</v>
      </c>
      <c r="B16" s="25" t="s">
        <v>7</v>
      </c>
      <c r="C16" s="25" t="s">
        <v>42</v>
      </c>
      <c r="D16" s="26" t="s">
        <v>64</v>
      </c>
      <c r="E16" s="26"/>
      <c r="F16" s="26"/>
      <c r="G16" s="25" t="s">
        <v>102</v>
      </c>
      <c r="H16" s="26" t="s">
        <v>103</v>
      </c>
      <c r="I16" s="25" t="s">
        <v>104</v>
      </c>
      <c r="J16" s="26" t="s">
        <v>49</v>
      </c>
      <c r="K16" s="26"/>
      <c r="L16" s="26"/>
      <c r="M16" s="26" t="s">
        <v>52</v>
      </c>
      <c r="N16" s="27">
        <v>0</v>
      </c>
      <c r="O16" s="27" t="s">
        <v>105</v>
      </c>
      <c r="P16" s="28">
        <v>0</v>
      </c>
      <c r="Q16" s="28">
        <v>0</v>
      </c>
      <c r="R16" s="28">
        <f t="shared" si="0"/>
        <v>0</v>
      </c>
      <c r="S16" s="28">
        <f t="shared" si="1"/>
        <v>0</v>
      </c>
      <c r="T16" s="28">
        <f>SUMIF('Stock In Log'!C:C, H16, 'Stock In Log'!D:D) - SUMIF('Stock Out Log'!C:C, H16, 'Stock Out Log'!D:D)</f>
        <v>0</v>
      </c>
      <c r="U16" s="27">
        <f t="shared" si="2"/>
        <v>0</v>
      </c>
      <c r="V16" s="29" t="str">
        <f t="shared" si="3"/>
        <v>ควรสั่งซื้อ</v>
      </c>
      <c r="W16" s="26" t="str">
        <f t="shared" si="4"/>
        <v>🔴 วิกฤต! (ของหมด)</v>
      </c>
      <c r="X16" s="26">
        <v>6</v>
      </c>
      <c r="Y16" s="25" t="s">
        <v>54</v>
      </c>
      <c r="Z16" s="28">
        <v>0</v>
      </c>
      <c r="AA16" s="26"/>
      <c r="AB16" s="26"/>
    </row>
    <row r="17" spans="1:28" ht="15" customHeight="1" x14ac:dyDescent="0.3">
      <c r="A17" s="26">
        <v>16</v>
      </c>
      <c r="B17" s="25" t="s">
        <v>7</v>
      </c>
      <c r="C17" s="25" t="s">
        <v>42</v>
      </c>
      <c r="D17" s="26" t="s">
        <v>64</v>
      </c>
      <c r="E17" s="26"/>
      <c r="F17" s="26"/>
      <c r="G17" s="25" t="s">
        <v>102</v>
      </c>
      <c r="H17" s="26" t="s">
        <v>106</v>
      </c>
      <c r="I17" s="25" t="s">
        <v>107</v>
      </c>
      <c r="J17" s="26" t="s">
        <v>49</v>
      </c>
      <c r="K17" s="26" t="s">
        <v>108</v>
      </c>
      <c r="L17" s="26"/>
      <c r="M17" s="26" t="s">
        <v>52</v>
      </c>
      <c r="N17" s="27">
        <v>0</v>
      </c>
      <c r="O17" s="27" t="s">
        <v>109</v>
      </c>
      <c r="P17" s="28">
        <v>0</v>
      </c>
      <c r="Q17" s="28">
        <v>0</v>
      </c>
      <c r="R17" s="28">
        <f t="shared" si="0"/>
        <v>0</v>
      </c>
      <c r="S17" s="28">
        <f t="shared" si="1"/>
        <v>0</v>
      </c>
      <c r="T17" s="28">
        <f>SUMIF('Stock In Log'!C:C, H17, 'Stock In Log'!D:D) - SUMIF('Stock Out Log'!C:C, H17, 'Stock Out Log'!D:D)</f>
        <v>0</v>
      </c>
      <c r="U17" s="27">
        <f t="shared" si="2"/>
        <v>0</v>
      </c>
      <c r="V17" s="29" t="str">
        <f t="shared" si="3"/>
        <v>ควรสั่งซื้อ</v>
      </c>
      <c r="W17" s="26" t="str">
        <f t="shared" si="4"/>
        <v>🔴 วิกฤต! (ของหมด)</v>
      </c>
      <c r="X17" s="26">
        <v>6</v>
      </c>
      <c r="Y17" s="25" t="s">
        <v>54</v>
      </c>
      <c r="Z17" s="28">
        <v>0</v>
      </c>
      <c r="AA17" s="26"/>
      <c r="AB17" s="26"/>
    </row>
    <row r="18" spans="1:28" ht="15" customHeight="1" x14ac:dyDescent="0.3">
      <c r="A18" s="26">
        <v>17</v>
      </c>
      <c r="B18" s="25" t="s">
        <v>7</v>
      </c>
      <c r="C18" s="25" t="s">
        <v>42</v>
      </c>
      <c r="D18" s="26" t="s">
        <v>64</v>
      </c>
      <c r="E18" s="26"/>
      <c r="F18" s="26"/>
      <c r="G18" s="25" t="s">
        <v>102</v>
      </c>
      <c r="H18" s="26" t="s">
        <v>110</v>
      </c>
      <c r="I18" s="25" t="s">
        <v>111</v>
      </c>
      <c r="J18" s="26" t="s">
        <v>49</v>
      </c>
      <c r="K18" s="26"/>
      <c r="L18" s="26"/>
      <c r="M18" s="26" t="s">
        <v>52</v>
      </c>
      <c r="N18" s="27">
        <v>0</v>
      </c>
      <c r="O18" s="27" t="s">
        <v>112</v>
      </c>
      <c r="P18" s="28">
        <v>0</v>
      </c>
      <c r="Q18" s="28">
        <v>0</v>
      </c>
      <c r="R18" s="28">
        <f t="shared" si="0"/>
        <v>0</v>
      </c>
      <c r="S18" s="28">
        <f t="shared" si="1"/>
        <v>0</v>
      </c>
      <c r="T18" s="28">
        <f>SUMIF('Stock In Log'!C:C, H18, 'Stock In Log'!D:D) - SUMIF('Stock Out Log'!C:C, H18, 'Stock Out Log'!D:D)</f>
        <v>0</v>
      </c>
      <c r="U18" s="27">
        <f t="shared" si="2"/>
        <v>0</v>
      </c>
      <c r="V18" s="29" t="str">
        <f t="shared" si="3"/>
        <v>ควรสั่งซื้อ</v>
      </c>
      <c r="W18" s="26" t="str">
        <f t="shared" si="4"/>
        <v>🔴 วิกฤต! (ของหมด)</v>
      </c>
      <c r="X18" s="26">
        <v>6</v>
      </c>
      <c r="Y18" s="25" t="s">
        <v>54</v>
      </c>
      <c r="Z18" s="28">
        <v>0</v>
      </c>
      <c r="AA18" s="26"/>
      <c r="AB18" s="26"/>
    </row>
    <row r="19" spans="1:28" ht="15" customHeight="1" x14ac:dyDescent="0.3">
      <c r="A19" s="26">
        <v>18</v>
      </c>
      <c r="B19" s="25" t="s">
        <v>7</v>
      </c>
      <c r="C19" s="25" t="s">
        <v>42</v>
      </c>
      <c r="D19" s="26" t="s">
        <v>64</v>
      </c>
      <c r="E19" s="26"/>
      <c r="F19" s="26"/>
      <c r="G19" s="25" t="s">
        <v>102</v>
      </c>
      <c r="H19" s="26" t="s">
        <v>113</v>
      </c>
      <c r="I19" s="25" t="s">
        <v>114</v>
      </c>
      <c r="J19" s="26" t="s">
        <v>49</v>
      </c>
      <c r="K19" s="26"/>
      <c r="L19" s="26"/>
      <c r="M19" s="26" t="s">
        <v>52</v>
      </c>
      <c r="N19" s="27">
        <v>0</v>
      </c>
      <c r="O19" s="27" t="s">
        <v>115</v>
      </c>
      <c r="P19" s="28">
        <v>0</v>
      </c>
      <c r="Q19" s="28">
        <v>0</v>
      </c>
      <c r="R19" s="28">
        <f t="shared" si="0"/>
        <v>0</v>
      </c>
      <c r="S19" s="28">
        <f t="shared" si="1"/>
        <v>0</v>
      </c>
      <c r="T19" s="28">
        <f>SUMIF('Stock In Log'!C:C, H19, 'Stock In Log'!D:D) - SUMIF('Stock Out Log'!C:C, H19, 'Stock Out Log'!D:D)</f>
        <v>0</v>
      </c>
      <c r="U19" s="27">
        <f t="shared" si="2"/>
        <v>0</v>
      </c>
      <c r="V19" s="29" t="str">
        <f t="shared" si="3"/>
        <v>ควรสั่งซื้อ</v>
      </c>
      <c r="W19" s="26" t="str">
        <f t="shared" si="4"/>
        <v>🔴 วิกฤต! (ของหมด)</v>
      </c>
      <c r="X19" s="26">
        <v>6</v>
      </c>
      <c r="Y19" s="25" t="s">
        <v>54</v>
      </c>
      <c r="Z19" s="28">
        <v>0</v>
      </c>
      <c r="AA19" s="26"/>
      <c r="AB19" s="26"/>
    </row>
    <row r="20" spans="1:28" ht="15" customHeight="1" x14ac:dyDescent="0.3">
      <c r="A20" s="26">
        <v>19</v>
      </c>
      <c r="B20" s="25" t="s">
        <v>7</v>
      </c>
      <c r="C20" s="25" t="s">
        <v>42</v>
      </c>
      <c r="D20" s="26" t="s">
        <v>64</v>
      </c>
      <c r="E20" s="26"/>
      <c r="F20" s="26"/>
      <c r="G20" s="25" t="s">
        <v>116</v>
      </c>
      <c r="H20" s="26" t="s">
        <v>117</v>
      </c>
      <c r="I20" s="25" t="s">
        <v>118</v>
      </c>
      <c r="J20" s="26" t="s">
        <v>49</v>
      </c>
      <c r="K20" s="26" t="s">
        <v>119</v>
      </c>
      <c r="L20" s="26"/>
      <c r="M20" s="26" t="s">
        <v>52</v>
      </c>
      <c r="N20" s="27">
        <v>0</v>
      </c>
      <c r="O20" s="27" t="s">
        <v>120</v>
      </c>
      <c r="P20" s="28">
        <v>0</v>
      </c>
      <c r="Q20" s="28">
        <v>0</v>
      </c>
      <c r="R20" s="28">
        <f t="shared" si="0"/>
        <v>0</v>
      </c>
      <c r="S20" s="28">
        <f t="shared" si="1"/>
        <v>0</v>
      </c>
      <c r="T20" s="28">
        <f>SUMIF('Stock In Log'!C:C, H20, 'Stock In Log'!D:D) - SUMIF('Stock Out Log'!C:C, H20, 'Stock Out Log'!D:D)</f>
        <v>0</v>
      </c>
      <c r="U20" s="27">
        <f t="shared" si="2"/>
        <v>0</v>
      </c>
      <c r="V20" s="29" t="str">
        <f t="shared" si="3"/>
        <v>ควรสั่งซื้อ</v>
      </c>
      <c r="W20" s="26" t="str">
        <f t="shared" si="4"/>
        <v>🔴 วิกฤต! (ของหมด)</v>
      </c>
      <c r="X20" s="26">
        <v>6</v>
      </c>
      <c r="Y20" s="25" t="s">
        <v>54</v>
      </c>
      <c r="Z20" s="28">
        <v>0</v>
      </c>
      <c r="AA20" s="26"/>
      <c r="AB20" s="26"/>
    </row>
    <row r="21" spans="1:28" ht="15" customHeight="1" x14ac:dyDescent="0.3">
      <c r="A21" s="26">
        <v>20</v>
      </c>
      <c r="B21" s="25" t="s">
        <v>7</v>
      </c>
      <c r="C21" s="25" t="s">
        <v>42</v>
      </c>
      <c r="D21" s="26" t="s">
        <v>64</v>
      </c>
      <c r="E21" s="26"/>
      <c r="F21" s="26"/>
      <c r="G21" s="25" t="s">
        <v>116</v>
      </c>
      <c r="H21" s="26" t="s">
        <v>121</v>
      </c>
      <c r="I21" s="25" t="s">
        <v>122</v>
      </c>
      <c r="J21" s="26" t="s">
        <v>49</v>
      </c>
      <c r="K21" s="26" t="s">
        <v>119</v>
      </c>
      <c r="L21" s="26"/>
      <c r="M21" s="26" t="s">
        <v>52</v>
      </c>
      <c r="N21" s="27">
        <v>0</v>
      </c>
      <c r="O21" s="27" t="s">
        <v>123</v>
      </c>
      <c r="P21" s="28">
        <v>0</v>
      </c>
      <c r="Q21" s="28">
        <v>0</v>
      </c>
      <c r="R21" s="28">
        <f t="shared" si="0"/>
        <v>0</v>
      </c>
      <c r="S21" s="28">
        <f t="shared" si="1"/>
        <v>0</v>
      </c>
      <c r="T21" s="28">
        <f>SUMIF('Stock In Log'!C:C, H21, 'Stock In Log'!D:D) - SUMIF('Stock Out Log'!C:C, H21, 'Stock Out Log'!D:D)</f>
        <v>0</v>
      </c>
      <c r="U21" s="27">
        <f t="shared" si="2"/>
        <v>0</v>
      </c>
      <c r="V21" s="29" t="str">
        <f t="shared" si="3"/>
        <v>ควรสั่งซื้อ</v>
      </c>
      <c r="W21" s="26" t="str">
        <f t="shared" si="4"/>
        <v>🔴 วิกฤต! (ของหมด)</v>
      </c>
      <c r="X21" s="26">
        <v>6</v>
      </c>
      <c r="Y21" s="25" t="s">
        <v>54</v>
      </c>
      <c r="Z21" s="28">
        <v>0</v>
      </c>
      <c r="AA21" s="26"/>
      <c r="AB21" s="26"/>
    </row>
    <row r="22" spans="1:28" ht="15" customHeight="1" x14ac:dyDescent="0.3">
      <c r="A22" s="26">
        <v>21</v>
      </c>
      <c r="B22" s="25" t="s">
        <v>7</v>
      </c>
      <c r="C22" s="25" t="s">
        <v>42</v>
      </c>
      <c r="D22" s="26" t="s">
        <v>64</v>
      </c>
      <c r="E22" s="26"/>
      <c r="F22" s="26"/>
      <c r="G22" s="25" t="s">
        <v>116</v>
      </c>
      <c r="H22" s="26" t="s">
        <v>124</v>
      </c>
      <c r="I22" s="25" t="s">
        <v>125</v>
      </c>
      <c r="J22" s="26" t="s">
        <v>49</v>
      </c>
      <c r="K22" s="26" t="s">
        <v>126</v>
      </c>
      <c r="L22" s="26"/>
      <c r="M22" s="26" t="s">
        <v>52</v>
      </c>
      <c r="N22" s="27">
        <v>0</v>
      </c>
      <c r="O22" s="27" t="s">
        <v>127</v>
      </c>
      <c r="P22" s="28">
        <v>0</v>
      </c>
      <c r="Q22" s="28">
        <v>0</v>
      </c>
      <c r="R22" s="28">
        <f t="shared" si="0"/>
        <v>0</v>
      </c>
      <c r="S22" s="28">
        <f t="shared" si="1"/>
        <v>0</v>
      </c>
      <c r="T22" s="28">
        <f>SUMIF('Stock In Log'!C:C, H22, 'Stock In Log'!D:D) - SUMIF('Stock Out Log'!C:C, H22, 'Stock Out Log'!D:D)</f>
        <v>0</v>
      </c>
      <c r="U22" s="27">
        <f t="shared" si="2"/>
        <v>0</v>
      </c>
      <c r="V22" s="29" t="str">
        <f t="shared" si="3"/>
        <v>ควรสั่งซื้อ</v>
      </c>
      <c r="W22" s="26" t="str">
        <f t="shared" si="4"/>
        <v>🔴 วิกฤต! (ของหมด)</v>
      </c>
      <c r="X22" s="26">
        <v>6</v>
      </c>
      <c r="Y22" s="25" t="s">
        <v>54</v>
      </c>
      <c r="Z22" s="28">
        <v>0</v>
      </c>
      <c r="AA22" s="26"/>
      <c r="AB22" s="26"/>
    </row>
    <row r="23" spans="1:28" ht="15" customHeight="1" x14ac:dyDescent="0.3">
      <c r="A23" s="26">
        <v>22</v>
      </c>
      <c r="B23" s="25" t="s">
        <v>7</v>
      </c>
      <c r="C23" s="25" t="s">
        <v>42</v>
      </c>
      <c r="D23" s="26" t="s">
        <v>64</v>
      </c>
      <c r="E23" s="26"/>
      <c r="F23" s="26"/>
      <c r="G23" s="25" t="s">
        <v>116</v>
      </c>
      <c r="H23" s="26" t="s">
        <v>128</v>
      </c>
      <c r="I23" s="25" t="s">
        <v>129</v>
      </c>
      <c r="J23" s="26" t="s">
        <v>49</v>
      </c>
      <c r="K23" s="26" t="s">
        <v>126</v>
      </c>
      <c r="L23" s="26"/>
      <c r="M23" s="26" t="s">
        <v>52</v>
      </c>
      <c r="N23" s="27">
        <v>0</v>
      </c>
      <c r="O23" s="27" t="s">
        <v>130</v>
      </c>
      <c r="P23" s="28">
        <v>5</v>
      </c>
      <c r="Q23" s="28">
        <v>3</v>
      </c>
      <c r="R23" s="28">
        <f t="shared" si="0"/>
        <v>2</v>
      </c>
      <c r="S23" s="28">
        <f t="shared" si="1"/>
        <v>5</v>
      </c>
      <c r="T23" s="28">
        <f>SUMIF('Stock In Log'!C:C, H23, 'Stock In Log'!D:D) - SUMIF('Stock Out Log'!C:C, H23, 'Stock Out Log'!D:D)</f>
        <v>7</v>
      </c>
      <c r="U23" s="27">
        <f t="shared" si="2"/>
        <v>0</v>
      </c>
      <c r="V23" s="29" t="str">
        <f t="shared" si="3"/>
        <v>ปกติ</v>
      </c>
      <c r="W23" s="26" t="str">
        <f t="shared" si="4"/>
        <v>🟢 ปกติ</v>
      </c>
      <c r="X23" s="26">
        <v>6</v>
      </c>
      <c r="Y23" s="25" t="s">
        <v>54</v>
      </c>
      <c r="Z23" s="28">
        <v>0</v>
      </c>
      <c r="AA23" s="26" t="s">
        <v>131</v>
      </c>
      <c r="AB23" s="26"/>
    </row>
    <row r="24" spans="1:28" ht="15" customHeight="1" x14ac:dyDescent="0.3">
      <c r="A24" s="26">
        <v>23</v>
      </c>
      <c r="B24" s="25" t="s">
        <v>7</v>
      </c>
      <c r="C24" s="25" t="s">
        <v>42</v>
      </c>
      <c r="D24" s="26" t="s">
        <v>64</v>
      </c>
      <c r="E24" s="26"/>
      <c r="F24" s="26"/>
      <c r="G24" s="25" t="s">
        <v>116</v>
      </c>
      <c r="H24" s="26" t="s">
        <v>132</v>
      </c>
      <c r="I24" s="25" t="s">
        <v>133</v>
      </c>
      <c r="J24" s="26" t="s">
        <v>49</v>
      </c>
      <c r="K24" s="26" t="s">
        <v>119</v>
      </c>
      <c r="L24" s="26"/>
      <c r="M24" s="26" t="s">
        <v>52</v>
      </c>
      <c r="N24" s="27">
        <v>0</v>
      </c>
      <c r="O24" s="27" t="s">
        <v>134</v>
      </c>
      <c r="P24" s="28">
        <v>0</v>
      </c>
      <c r="Q24" s="28">
        <v>0</v>
      </c>
      <c r="R24" s="28">
        <f t="shared" si="0"/>
        <v>0</v>
      </c>
      <c r="S24" s="28">
        <f t="shared" si="1"/>
        <v>0</v>
      </c>
      <c r="T24" s="28">
        <f>SUMIF('Stock In Log'!C:C, H24, 'Stock In Log'!D:D) - SUMIF('Stock Out Log'!C:C, H24, 'Stock Out Log'!D:D)</f>
        <v>2</v>
      </c>
      <c r="U24" s="27">
        <f t="shared" si="2"/>
        <v>0</v>
      </c>
      <c r="V24" s="29" t="str">
        <f t="shared" si="3"/>
        <v>ปกติ</v>
      </c>
      <c r="W24" s="26" t="str">
        <f t="shared" si="4"/>
        <v>🟢 ปกติ</v>
      </c>
      <c r="X24" s="26">
        <v>6</v>
      </c>
      <c r="Y24" s="25" t="s">
        <v>54</v>
      </c>
      <c r="Z24" s="28">
        <v>0</v>
      </c>
      <c r="AA24" s="26" t="s">
        <v>131</v>
      </c>
      <c r="AB24" s="26"/>
    </row>
    <row r="25" spans="1:28" ht="15" customHeight="1" x14ac:dyDescent="0.3">
      <c r="A25" s="26">
        <v>24</v>
      </c>
      <c r="B25" s="25" t="s">
        <v>7</v>
      </c>
      <c r="C25" s="25" t="s">
        <v>42</v>
      </c>
      <c r="D25" s="26" t="s">
        <v>64</v>
      </c>
      <c r="E25" s="26"/>
      <c r="F25" s="26"/>
      <c r="G25" s="25" t="s">
        <v>116</v>
      </c>
      <c r="H25" s="26" t="s">
        <v>135</v>
      </c>
      <c r="I25" s="25" t="s">
        <v>136</v>
      </c>
      <c r="J25" s="26" t="s">
        <v>49</v>
      </c>
      <c r="K25" s="26" t="s">
        <v>119</v>
      </c>
      <c r="L25" s="26"/>
      <c r="M25" s="26" t="s">
        <v>52</v>
      </c>
      <c r="N25" s="27">
        <v>0</v>
      </c>
      <c r="O25" s="27" t="s">
        <v>137</v>
      </c>
      <c r="P25" s="28">
        <v>0</v>
      </c>
      <c r="Q25" s="28">
        <v>0</v>
      </c>
      <c r="R25" s="28">
        <f t="shared" si="0"/>
        <v>0</v>
      </c>
      <c r="S25" s="28">
        <f t="shared" si="1"/>
        <v>0</v>
      </c>
      <c r="T25" s="28">
        <f>SUMIF('Stock In Log'!C:C, H25, 'Stock In Log'!D:D) - SUMIF('Stock Out Log'!C:C, H25, 'Stock Out Log'!D:D)</f>
        <v>2</v>
      </c>
      <c r="U25" s="27">
        <f t="shared" si="2"/>
        <v>0</v>
      </c>
      <c r="V25" s="29" t="str">
        <f t="shared" si="3"/>
        <v>ปกติ</v>
      </c>
      <c r="W25" s="26" t="str">
        <f t="shared" si="4"/>
        <v>🟢 ปกติ</v>
      </c>
      <c r="X25" s="26">
        <v>6</v>
      </c>
      <c r="Y25" s="25" t="s">
        <v>54</v>
      </c>
      <c r="Z25" s="28">
        <v>0</v>
      </c>
      <c r="AA25" s="26" t="s">
        <v>131</v>
      </c>
      <c r="AB25" s="26"/>
    </row>
    <row r="26" spans="1:28" ht="15" customHeight="1" x14ac:dyDescent="0.3">
      <c r="A26" s="26">
        <v>25</v>
      </c>
      <c r="B26" s="25" t="s">
        <v>7</v>
      </c>
      <c r="C26" s="25" t="s">
        <v>42</v>
      </c>
      <c r="D26" s="26" t="s">
        <v>64</v>
      </c>
      <c r="E26" s="26"/>
      <c r="F26" s="26" t="s">
        <v>45</v>
      </c>
      <c r="G26" s="25" t="s">
        <v>116</v>
      </c>
      <c r="H26" s="26" t="s">
        <v>138</v>
      </c>
      <c r="I26" s="25" t="s">
        <v>139</v>
      </c>
      <c r="J26" s="26" t="s">
        <v>49</v>
      </c>
      <c r="K26" s="26" t="s">
        <v>119</v>
      </c>
      <c r="L26" s="26"/>
      <c r="M26" s="26" t="s">
        <v>52</v>
      </c>
      <c r="N26" s="27">
        <v>0</v>
      </c>
      <c r="O26" s="27" t="s">
        <v>140</v>
      </c>
      <c r="P26" s="28">
        <v>5</v>
      </c>
      <c r="Q26" s="28">
        <v>3</v>
      </c>
      <c r="R26" s="28">
        <f t="shared" si="0"/>
        <v>2</v>
      </c>
      <c r="S26" s="28">
        <f t="shared" si="1"/>
        <v>5</v>
      </c>
      <c r="T26" s="28">
        <f>SUMIF('Stock In Log'!C:C, H26, 'Stock In Log'!D:D) - SUMIF('Stock Out Log'!C:C, H26, 'Stock Out Log'!D:D)</f>
        <v>6</v>
      </c>
      <c r="U26" s="27">
        <f t="shared" si="2"/>
        <v>0</v>
      </c>
      <c r="V26" s="29" t="str">
        <f t="shared" si="3"/>
        <v>ปกติ</v>
      </c>
      <c r="W26" s="26" t="str">
        <f t="shared" si="4"/>
        <v>🟢 ปกติ</v>
      </c>
      <c r="X26" s="26">
        <v>6</v>
      </c>
      <c r="Y26" s="25" t="s">
        <v>54</v>
      </c>
      <c r="Z26" s="28">
        <v>7</v>
      </c>
      <c r="AA26" s="26" t="s">
        <v>131</v>
      </c>
      <c r="AB26" s="26"/>
    </row>
    <row r="27" spans="1:28" ht="15" customHeight="1" x14ac:dyDescent="0.3">
      <c r="A27" s="26">
        <v>26</v>
      </c>
      <c r="B27" s="25" t="s">
        <v>7</v>
      </c>
      <c r="C27" s="25" t="s">
        <v>42</v>
      </c>
      <c r="D27" s="26" t="s">
        <v>64</v>
      </c>
      <c r="E27" s="26"/>
      <c r="F27" s="26" t="s">
        <v>45</v>
      </c>
      <c r="G27" s="25" t="s">
        <v>116</v>
      </c>
      <c r="H27" s="26" t="s">
        <v>141</v>
      </c>
      <c r="I27" s="25" t="s">
        <v>142</v>
      </c>
      <c r="J27" s="26" t="s">
        <v>49</v>
      </c>
      <c r="K27" s="26"/>
      <c r="L27" s="26"/>
      <c r="M27" s="26" t="s">
        <v>52</v>
      </c>
      <c r="N27" s="27">
        <v>0</v>
      </c>
      <c r="O27" s="27" t="s">
        <v>143</v>
      </c>
      <c r="P27" s="28">
        <v>4</v>
      </c>
      <c r="Q27" s="28">
        <v>2</v>
      </c>
      <c r="R27" s="28">
        <f t="shared" si="0"/>
        <v>1</v>
      </c>
      <c r="S27" s="28">
        <f t="shared" si="1"/>
        <v>3</v>
      </c>
      <c r="T27" s="28">
        <f>SUMIF('Stock In Log'!C:C, H27, 'Stock In Log'!D:D) - SUMIF('Stock Out Log'!C:C, H27, 'Stock Out Log'!D:D)</f>
        <v>2</v>
      </c>
      <c r="U27" s="27">
        <f t="shared" si="2"/>
        <v>0</v>
      </c>
      <c r="V27" s="29" t="str">
        <f t="shared" si="3"/>
        <v>ควรสั่งซื้อ</v>
      </c>
      <c r="W27" s="26" t="str">
        <f t="shared" si="4"/>
        <v>🟡 ควรสั่งซื้อ (ต่ำกว่า ROP)</v>
      </c>
      <c r="X27" s="26">
        <v>6</v>
      </c>
      <c r="Y27" s="25" t="s">
        <v>54</v>
      </c>
      <c r="Z27" s="28">
        <v>7</v>
      </c>
      <c r="AA27" s="26" t="s">
        <v>131</v>
      </c>
      <c r="AB27" s="26"/>
    </row>
    <row r="28" spans="1:28" ht="15" customHeight="1" x14ac:dyDescent="0.3">
      <c r="A28" s="26">
        <v>27</v>
      </c>
      <c r="B28" s="25" t="s">
        <v>7</v>
      </c>
      <c r="C28" s="25" t="s">
        <v>42</v>
      </c>
      <c r="D28" s="26" t="s">
        <v>64</v>
      </c>
      <c r="E28" s="26"/>
      <c r="F28" s="26"/>
      <c r="G28" s="25" t="s">
        <v>116</v>
      </c>
      <c r="H28" s="26" t="s">
        <v>144</v>
      </c>
      <c r="I28" s="25" t="s">
        <v>145</v>
      </c>
      <c r="J28" s="26" t="s">
        <v>146</v>
      </c>
      <c r="K28" s="26" t="s">
        <v>126</v>
      </c>
      <c r="L28" s="26"/>
      <c r="M28" s="26" t="s">
        <v>52</v>
      </c>
      <c r="N28" s="27">
        <v>0</v>
      </c>
      <c r="O28" s="27" t="s">
        <v>147</v>
      </c>
      <c r="P28" s="28">
        <v>0</v>
      </c>
      <c r="Q28" s="28">
        <v>0</v>
      </c>
      <c r="R28" s="28">
        <f t="shared" si="0"/>
        <v>0</v>
      </c>
      <c r="S28" s="28">
        <f t="shared" si="1"/>
        <v>0</v>
      </c>
      <c r="T28" s="28">
        <f>SUMIF('Stock In Log'!C:C, H28, 'Stock In Log'!D:D) - SUMIF('Stock Out Log'!C:C, H28, 'Stock Out Log'!D:D)</f>
        <v>0</v>
      </c>
      <c r="U28" s="27">
        <f t="shared" si="2"/>
        <v>0</v>
      </c>
      <c r="V28" s="29" t="str">
        <f t="shared" si="3"/>
        <v>ควรสั่งซื้อ</v>
      </c>
      <c r="W28" s="26" t="str">
        <f t="shared" si="4"/>
        <v>🔴 วิกฤต! (ของหมด)</v>
      </c>
      <c r="X28" s="26">
        <v>9</v>
      </c>
      <c r="Y28" s="25" t="s">
        <v>54</v>
      </c>
      <c r="Z28" s="28">
        <v>0</v>
      </c>
      <c r="AA28" s="26"/>
      <c r="AB28" s="26"/>
    </row>
    <row r="29" spans="1:28" ht="15" customHeight="1" x14ac:dyDescent="0.3">
      <c r="A29" s="26">
        <v>28</v>
      </c>
      <c r="B29" s="25" t="s">
        <v>7</v>
      </c>
      <c r="C29" s="25" t="s">
        <v>42</v>
      </c>
      <c r="D29" s="26" t="s">
        <v>64</v>
      </c>
      <c r="E29" s="26"/>
      <c r="F29" s="26" t="s">
        <v>148</v>
      </c>
      <c r="G29" s="25" t="s">
        <v>116</v>
      </c>
      <c r="H29" s="26" t="s">
        <v>149</v>
      </c>
      <c r="I29" s="25" t="s">
        <v>150</v>
      </c>
      <c r="J29" s="26" t="s">
        <v>146</v>
      </c>
      <c r="K29" s="26" t="s">
        <v>126</v>
      </c>
      <c r="L29" s="26"/>
      <c r="M29" s="26" t="s">
        <v>52</v>
      </c>
      <c r="N29" s="27">
        <v>0</v>
      </c>
      <c r="O29" s="27" t="s">
        <v>151</v>
      </c>
      <c r="P29" s="28">
        <v>0</v>
      </c>
      <c r="Q29" s="28">
        <v>0</v>
      </c>
      <c r="R29" s="28">
        <f t="shared" si="0"/>
        <v>0</v>
      </c>
      <c r="S29" s="28">
        <f t="shared" si="1"/>
        <v>0</v>
      </c>
      <c r="T29" s="28">
        <f>SUMIF('Stock In Log'!C:C, H29, 'Stock In Log'!D:D) - SUMIF('Stock Out Log'!C:C, H29, 'Stock Out Log'!D:D)</f>
        <v>0</v>
      </c>
      <c r="U29" s="27">
        <f t="shared" si="2"/>
        <v>0</v>
      </c>
      <c r="V29" s="29" t="str">
        <f t="shared" si="3"/>
        <v>ควรสั่งซื้อ</v>
      </c>
      <c r="W29" s="26" t="str">
        <f t="shared" si="4"/>
        <v>🔴 วิกฤต! (ของหมด)</v>
      </c>
      <c r="X29" s="26">
        <v>9</v>
      </c>
      <c r="Y29" s="25" t="s">
        <v>54</v>
      </c>
      <c r="Z29" s="28">
        <v>0</v>
      </c>
      <c r="AA29" s="26"/>
      <c r="AB29" s="26"/>
    </row>
    <row r="30" spans="1:28" ht="15" customHeight="1" x14ac:dyDescent="0.3">
      <c r="A30" s="26">
        <v>29</v>
      </c>
      <c r="B30" s="25" t="s">
        <v>7</v>
      </c>
      <c r="C30" s="25" t="s">
        <v>42</v>
      </c>
      <c r="D30" s="26" t="s">
        <v>64</v>
      </c>
      <c r="E30" s="26"/>
      <c r="F30" s="26" t="s">
        <v>148</v>
      </c>
      <c r="G30" s="25" t="s">
        <v>116</v>
      </c>
      <c r="H30" s="26" t="s">
        <v>152</v>
      </c>
      <c r="I30" s="25" t="s">
        <v>150</v>
      </c>
      <c r="J30" s="26" t="s">
        <v>146</v>
      </c>
      <c r="K30" s="26" t="s">
        <v>126</v>
      </c>
      <c r="L30" s="26"/>
      <c r="M30" s="26" t="s">
        <v>52</v>
      </c>
      <c r="N30" s="27">
        <v>0</v>
      </c>
      <c r="O30" s="27" t="s">
        <v>153</v>
      </c>
      <c r="P30" s="28">
        <v>0</v>
      </c>
      <c r="Q30" s="28">
        <v>0</v>
      </c>
      <c r="R30" s="28">
        <f t="shared" si="0"/>
        <v>0</v>
      </c>
      <c r="S30" s="28">
        <f t="shared" si="1"/>
        <v>0</v>
      </c>
      <c r="T30" s="28">
        <f>SUMIF('Stock In Log'!C:C, H30, 'Stock In Log'!D:D) - SUMIF('Stock Out Log'!C:C, H30, 'Stock Out Log'!D:D)</f>
        <v>0</v>
      </c>
      <c r="U30" s="27">
        <f t="shared" si="2"/>
        <v>0</v>
      </c>
      <c r="V30" s="29" t="str">
        <f t="shared" si="3"/>
        <v>ควรสั่งซื้อ</v>
      </c>
      <c r="W30" s="26" t="str">
        <f t="shared" si="4"/>
        <v>🔴 วิกฤต! (ของหมด)</v>
      </c>
      <c r="X30" s="26">
        <v>9</v>
      </c>
      <c r="Y30" s="25" t="s">
        <v>54</v>
      </c>
      <c r="Z30" s="28">
        <v>0</v>
      </c>
      <c r="AA30" s="26"/>
      <c r="AB30" s="26"/>
    </row>
    <row r="31" spans="1:28" ht="15" customHeight="1" x14ac:dyDescent="0.3">
      <c r="A31" s="26">
        <v>30</v>
      </c>
      <c r="B31" s="25" t="s">
        <v>7</v>
      </c>
      <c r="C31" s="25" t="s">
        <v>42</v>
      </c>
      <c r="D31" s="26" t="s">
        <v>64</v>
      </c>
      <c r="E31" s="26"/>
      <c r="F31" s="26" t="s">
        <v>154</v>
      </c>
      <c r="G31" s="25" t="s">
        <v>116</v>
      </c>
      <c r="H31" s="26" t="s">
        <v>155</v>
      </c>
      <c r="I31" s="25" t="s">
        <v>150</v>
      </c>
      <c r="J31" s="26" t="s">
        <v>146</v>
      </c>
      <c r="K31" s="26" t="s">
        <v>126</v>
      </c>
      <c r="L31" s="26"/>
      <c r="M31" s="26" t="s">
        <v>52</v>
      </c>
      <c r="N31" s="27">
        <v>28000</v>
      </c>
      <c r="O31" s="27" t="s">
        <v>156</v>
      </c>
      <c r="P31" s="28">
        <v>0</v>
      </c>
      <c r="Q31" s="28">
        <v>0</v>
      </c>
      <c r="R31" s="28">
        <f t="shared" si="0"/>
        <v>0</v>
      </c>
      <c r="S31" s="28">
        <f t="shared" si="1"/>
        <v>0</v>
      </c>
      <c r="T31" s="28">
        <f>SUMIF('Stock In Log'!C:C, H31, 'Stock In Log'!D:D) - SUMIF('Stock Out Log'!C:C, H31, 'Stock Out Log'!D:D)</f>
        <v>0</v>
      </c>
      <c r="U31" s="27">
        <f t="shared" si="2"/>
        <v>0</v>
      </c>
      <c r="V31" s="29" t="str">
        <f t="shared" si="3"/>
        <v>ควรสั่งซื้อ</v>
      </c>
      <c r="W31" s="26" t="str">
        <f t="shared" si="4"/>
        <v>🔴 วิกฤต! (ของหมด)</v>
      </c>
      <c r="X31" s="26">
        <v>9</v>
      </c>
      <c r="Y31" s="25" t="s">
        <v>54</v>
      </c>
      <c r="Z31" s="28">
        <v>0</v>
      </c>
      <c r="AA31" s="26"/>
      <c r="AB31" s="26" t="s">
        <v>157</v>
      </c>
    </row>
    <row r="32" spans="1:28" ht="15" customHeight="1" x14ac:dyDescent="0.3">
      <c r="A32" s="26">
        <v>31</v>
      </c>
      <c r="B32" s="25" t="s">
        <v>7</v>
      </c>
      <c r="C32" s="25" t="s">
        <v>42</v>
      </c>
      <c r="D32" s="26" t="s">
        <v>64</v>
      </c>
      <c r="E32" s="26"/>
      <c r="F32" s="26" t="s">
        <v>148</v>
      </c>
      <c r="G32" s="25" t="s">
        <v>116</v>
      </c>
      <c r="H32" s="26" t="s">
        <v>158</v>
      </c>
      <c r="I32" s="25" t="s">
        <v>150</v>
      </c>
      <c r="J32" s="26" t="s">
        <v>146</v>
      </c>
      <c r="K32" s="26" t="s">
        <v>126</v>
      </c>
      <c r="L32" s="26"/>
      <c r="M32" s="26" t="s">
        <v>52</v>
      </c>
      <c r="N32" s="27">
        <v>0</v>
      </c>
      <c r="O32" s="27" t="s">
        <v>159</v>
      </c>
      <c r="P32" s="28">
        <v>0</v>
      </c>
      <c r="Q32" s="28">
        <v>0</v>
      </c>
      <c r="R32" s="28">
        <f t="shared" si="0"/>
        <v>0</v>
      </c>
      <c r="S32" s="28">
        <f t="shared" si="1"/>
        <v>0</v>
      </c>
      <c r="T32" s="28">
        <f>SUMIF('Stock In Log'!C:C, H32, 'Stock In Log'!D:D) - SUMIF('Stock Out Log'!C:C, H32, 'Stock Out Log'!D:D)</f>
        <v>0</v>
      </c>
      <c r="U32" s="27">
        <f t="shared" si="2"/>
        <v>0</v>
      </c>
      <c r="V32" s="29" t="str">
        <f t="shared" si="3"/>
        <v>ควรสั่งซื้อ</v>
      </c>
      <c r="W32" s="26" t="str">
        <f t="shared" si="4"/>
        <v>🔴 วิกฤต! (ของหมด)</v>
      </c>
      <c r="X32" s="26">
        <v>9</v>
      </c>
      <c r="Y32" s="25" t="s">
        <v>54</v>
      </c>
      <c r="Z32" s="28">
        <v>0</v>
      </c>
      <c r="AA32" s="26"/>
      <c r="AB32" s="26"/>
    </row>
    <row r="33" spans="1:28" ht="15" customHeight="1" x14ac:dyDescent="0.3">
      <c r="A33" s="26">
        <v>32</v>
      </c>
      <c r="B33" s="25" t="s">
        <v>7</v>
      </c>
      <c r="C33" s="25" t="s">
        <v>42</v>
      </c>
      <c r="D33" s="26" t="s">
        <v>64</v>
      </c>
      <c r="E33" s="26"/>
      <c r="F33" s="26" t="s">
        <v>148</v>
      </c>
      <c r="G33" s="25" t="s">
        <v>116</v>
      </c>
      <c r="H33" s="26" t="s">
        <v>160</v>
      </c>
      <c r="I33" s="25" t="s">
        <v>150</v>
      </c>
      <c r="J33" s="26" t="s">
        <v>146</v>
      </c>
      <c r="K33" s="26" t="s">
        <v>126</v>
      </c>
      <c r="L33" s="26"/>
      <c r="M33" s="26" t="s">
        <v>52</v>
      </c>
      <c r="N33" s="27">
        <v>0</v>
      </c>
      <c r="O33" s="27" t="s">
        <v>161</v>
      </c>
      <c r="P33" s="28">
        <v>0</v>
      </c>
      <c r="Q33" s="28">
        <v>0</v>
      </c>
      <c r="R33" s="28">
        <f t="shared" si="0"/>
        <v>0</v>
      </c>
      <c r="S33" s="28">
        <f t="shared" si="1"/>
        <v>0</v>
      </c>
      <c r="T33" s="28">
        <f>SUMIF('Stock In Log'!C:C, H33, 'Stock In Log'!D:D) - SUMIF('Stock Out Log'!C:C, H33, 'Stock Out Log'!D:D)</f>
        <v>0</v>
      </c>
      <c r="U33" s="27">
        <f t="shared" si="2"/>
        <v>0</v>
      </c>
      <c r="V33" s="29" t="str">
        <f t="shared" si="3"/>
        <v>ควรสั่งซื้อ</v>
      </c>
      <c r="W33" s="26" t="str">
        <f t="shared" si="4"/>
        <v>🔴 วิกฤต! (ของหมด)</v>
      </c>
      <c r="X33" s="26">
        <v>9</v>
      </c>
      <c r="Y33" s="25" t="s">
        <v>54</v>
      </c>
      <c r="Z33" s="28">
        <v>0</v>
      </c>
      <c r="AA33" s="26"/>
      <c r="AB33" s="26"/>
    </row>
    <row r="34" spans="1:28" ht="15" customHeight="1" x14ac:dyDescent="0.3">
      <c r="A34" s="26">
        <v>33</v>
      </c>
      <c r="B34" s="25" t="s">
        <v>7</v>
      </c>
      <c r="C34" s="25" t="s">
        <v>42</v>
      </c>
      <c r="D34" s="26" t="s">
        <v>64</v>
      </c>
      <c r="E34" s="26"/>
      <c r="F34" s="26" t="s">
        <v>45</v>
      </c>
      <c r="G34" s="25" t="s">
        <v>116</v>
      </c>
      <c r="H34" s="26" t="s">
        <v>162</v>
      </c>
      <c r="I34" s="25" t="s">
        <v>163</v>
      </c>
      <c r="J34" s="26" t="s">
        <v>49</v>
      </c>
      <c r="K34" s="26" t="s">
        <v>119</v>
      </c>
      <c r="L34" s="26"/>
      <c r="M34" s="26" t="s">
        <v>52</v>
      </c>
      <c r="N34" s="27">
        <v>0</v>
      </c>
      <c r="O34" s="27" t="s">
        <v>164</v>
      </c>
      <c r="P34" s="28">
        <v>0</v>
      </c>
      <c r="Q34" s="28">
        <v>0</v>
      </c>
      <c r="R34" s="28">
        <f t="shared" ref="R34:R65" si="5">ROUND(Q34*0.5,0)</f>
        <v>0</v>
      </c>
      <c r="S34" s="28">
        <f t="shared" ref="S34:S65" si="6">Q34+R34</f>
        <v>0</v>
      </c>
      <c r="T34" s="28">
        <f>SUMIF('Stock In Log'!C:C, H34, 'Stock In Log'!D:D) - SUMIF('Stock Out Log'!C:C, H34, 'Stock Out Log'!D:D)</f>
        <v>0</v>
      </c>
      <c r="U34" s="27">
        <f t="shared" ref="U34:U65" si="7">N34*T34</f>
        <v>0</v>
      </c>
      <c r="V34" s="29" t="str">
        <f t="shared" ref="V34:V65" si="8">IF(T34&lt;=0,"ควรสั่งซื้อ",
IF(T34&lt;=S34,"ควรสั่งซื้อ","ปกติ"))</f>
        <v>ควรสั่งซื้อ</v>
      </c>
      <c r="W34" s="26" t="str">
        <f t="shared" ref="W34:W65" si="9">IF(T34&lt;=0, "🔴 วิกฤต! (ของหมด)", IF(T34&lt;=S34, "🟡 ควรสั่งซื้อ (ต่ำกว่า ROP)", "🟢 ปกติ"))</f>
        <v>🔴 วิกฤต! (ของหมด)</v>
      </c>
      <c r="X34" s="26">
        <v>6</v>
      </c>
      <c r="Y34" s="25" t="s">
        <v>54</v>
      </c>
      <c r="Z34" s="28">
        <v>0</v>
      </c>
      <c r="AA34" s="26"/>
      <c r="AB34" s="26"/>
    </row>
    <row r="35" spans="1:28" ht="15" customHeight="1" x14ac:dyDescent="0.3">
      <c r="A35" s="26">
        <v>34</v>
      </c>
      <c r="B35" s="25" t="s">
        <v>7</v>
      </c>
      <c r="C35" s="25" t="s">
        <v>42</v>
      </c>
      <c r="D35" s="26" t="s">
        <v>64</v>
      </c>
      <c r="E35" s="26"/>
      <c r="F35" s="26" t="s">
        <v>45</v>
      </c>
      <c r="G35" s="25" t="s">
        <v>116</v>
      </c>
      <c r="H35" s="26" t="s">
        <v>165</v>
      </c>
      <c r="I35" s="25" t="s">
        <v>166</v>
      </c>
      <c r="J35" s="26" t="s">
        <v>49</v>
      </c>
      <c r="K35" s="26" t="s">
        <v>167</v>
      </c>
      <c r="L35" s="26"/>
      <c r="M35" s="26" t="s">
        <v>52</v>
      </c>
      <c r="N35" s="27">
        <v>0</v>
      </c>
      <c r="O35" s="27" t="s">
        <v>168</v>
      </c>
      <c r="P35" s="28">
        <v>3</v>
      </c>
      <c r="Q35" s="28">
        <v>2</v>
      </c>
      <c r="R35" s="28">
        <f t="shared" si="5"/>
        <v>1</v>
      </c>
      <c r="S35" s="28">
        <f t="shared" si="6"/>
        <v>3</v>
      </c>
      <c r="T35" s="28">
        <f>SUMIF('Stock In Log'!C:C, H35, 'Stock In Log'!D:D) - SUMIF('Stock Out Log'!C:C, H35, 'Stock Out Log'!D:D)</f>
        <v>0</v>
      </c>
      <c r="U35" s="27">
        <f t="shared" si="7"/>
        <v>0</v>
      </c>
      <c r="V35" s="29" t="str">
        <f t="shared" si="8"/>
        <v>ควรสั่งซื้อ</v>
      </c>
      <c r="W35" s="26" t="str">
        <f t="shared" si="9"/>
        <v>🔴 วิกฤต! (ของหมด)</v>
      </c>
      <c r="X35" s="26">
        <v>6</v>
      </c>
      <c r="Y35" s="25" t="s">
        <v>54</v>
      </c>
      <c r="Z35" s="28">
        <v>45</v>
      </c>
      <c r="AA35" s="26" t="s">
        <v>131</v>
      </c>
      <c r="AB35" s="26"/>
    </row>
    <row r="36" spans="1:28" ht="15" customHeight="1" x14ac:dyDescent="0.3">
      <c r="A36" s="26">
        <v>35</v>
      </c>
      <c r="B36" s="25" t="s">
        <v>7</v>
      </c>
      <c r="C36" s="25" t="s">
        <v>42</v>
      </c>
      <c r="D36" s="26" t="s">
        <v>64</v>
      </c>
      <c r="E36" s="26"/>
      <c r="F36" s="26" t="s">
        <v>45</v>
      </c>
      <c r="G36" s="25" t="s">
        <v>116</v>
      </c>
      <c r="H36" s="26" t="s">
        <v>169</v>
      </c>
      <c r="I36" s="25" t="s">
        <v>170</v>
      </c>
      <c r="J36" s="26" t="s">
        <v>49</v>
      </c>
      <c r="K36" s="26" t="s">
        <v>167</v>
      </c>
      <c r="L36" s="26"/>
      <c r="M36" s="26" t="s">
        <v>52</v>
      </c>
      <c r="N36" s="27">
        <v>0</v>
      </c>
      <c r="O36" s="27" t="s">
        <v>171</v>
      </c>
      <c r="P36" s="28">
        <v>4</v>
      </c>
      <c r="Q36" s="28">
        <v>2</v>
      </c>
      <c r="R36" s="28">
        <f t="shared" si="5"/>
        <v>1</v>
      </c>
      <c r="S36" s="28">
        <f t="shared" si="6"/>
        <v>3</v>
      </c>
      <c r="T36" s="28">
        <f>SUMIF('Stock In Log'!C:C, H36, 'Stock In Log'!D:D) - SUMIF('Stock Out Log'!C:C, H36, 'Stock Out Log'!D:D)</f>
        <v>1</v>
      </c>
      <c r="U36" s="27">
        <f t="shared" si="7"/>
        <v>0</v>
      </c>
      <c r="V36" s="29" t="str">
        <f t="shared" si="8"/>
        <v>ควรสั่งซื้อ</v>
      </c>
      <c r="W36" s="26" t="str">
        <f t="shared" si="9"/>
        <v>🟡 ควรสั่งซื้อ (ต่ำกว่า ROP)</v>
      </c>
      <c r="X36" s="26">
        <v>6</v>
      </c>
      <c r="Y36" s="25" t="s">
        <v>54</v>
      </c>
      <c r="Z36" s="28">
        <v>45</v>
      </c>
      <c r="AA36" s="26" t="s">
        <v>131</v>
      </c>
      <c r="AB36" s="26"/>
    </row>
    <row r="37" spans="1:28" ht="15" customHeight="1" x14ac:dyDescent="0.3">
      <c r="A37" s="26">
        <v>36</v>
      </c>
      <c r="B37" s="25" t="s">
        <v>7</v>
      </c>
      <c r="C37" s="25" t="s">
        <v>42</v>
      </c>
      <c r="D37" s="26" t="s">
        <v>64</v>
      </c>
      <c r="E37" s="26"/>
      <c r="F37" s="26" t="s">
        <v>45</v>
      </c>
      <c r="G37" s="25" t="s">
        <v>116</v>
      </c>
      <c r="H37" s="26" t="s">
        <v>172</v>
      </c>
      <c r="I37" s="25" t="s">
        <v>173</v>
      </c>
      <c r="J37" s="26" t="s">
        <v>49</v>
      </c>
      <c r="K37" s="26" t="s">
        <v>167</v>
      </c>
      <c r="L37" s="26"/>
      <c r="M37" s="26" t="s">
        <v>52</v>
      </c>
      <c r="N37" s="27">
        <v>0</v>
      </c>
      <c r="O37" s="27" t="s">
        <v>174</v>
      </c>
      <c r="P37" s="28">
        <v>2</v>
      </c>
      <c r="Q37" s="28">
        <v>1</v>
      </c>
      <c r="R37" s="28">
        <f t="shared" si="5"/>
        <v>1</v>
      </c>
      <c r="S37" s="28">
        <f t="shared" si="6"/>
        <v>2</v>
      </c>
      <c r="T37" s="28">
        <f>SUMIF('Stock In Log'!C:C, H37, 'Stock In Log'!D:D) - SUMIF('Stock Out Log'!C:C, H37, 'Stock Out Log'!D:D)</f>
        <v>1</v>
      </c>
      <c r="U37" s="27">
        <f t="shared" si="7"/>
        <v>0</v>
      </c>
      <c r="V37" s="29" t="str">
        <f t="shared" si="8"/>
        <v>ควรสั่งซื้อ</v>
      </c>
      <c r="W37" s="26" t="str">
        <f t="shared" si="9"/>
        <v>🟡 ควรสั่งซื้อ (ต่ำกว่า ROP)</v>
      </c>
      <c r="X37" s="26">
        <v>6</v>
      </c>
      <c r="Y37" s="25" t="s">
        <v>54</v>
      </c>
      <c r="Z37" s="28">
        <v>45</v>
      </c>
      <c r="AA37" s="26" t="s">
        <v>131</v>
      </c>
      <c r="AB37" s="26"/>
    </row>
    <row r="38" spans="1:28" ht="15" customHeight="1" x14ac:dyDescent="0.3">
      <c r="A38" s="26">
        <v>37</v>
      </c>
      <c r="B38" s="25" t="s">
        <v>7</v>
      </c>
      <c r="C38" s="25" t="s">
        <v>42</v>
      </c>
      <c r="D38" s="26" t="s">
        <v>64</v>
      </c>
      <c r="E38" s="26"/>
      <c r="F38" s="26" t="s">
        <v>45</v>
      </c>
      <c r="G38" s="25" t="s">
        <v>116</v>
      </c>
      <c r="H38" s="26" t="s">
        <v>175</v>
      </c>
      <c r="I38" s="25" t="s">
        <v>166</v>
      </c>
      <c r="J38" s="26" t="s">
        <v>49</v>
      </c>
      <c r="K38" s="26" t="s">
        <v>167</v>
      </c>
      <c r="L38" s="26"/>
      <c r="M38" s="26" t="s">
        <v>52</v>
      </c>
      <c r="N38" s="27">
        <v>0</v>
      </c>
      <c r="O38" s="27" t="s">
        <v>176</v>
      </c>
      <c r="P38" s="28">
        <v>2</v>
      </c>
      <c r="Q38" s="28">
        <v>1</v>
      </c>
      <c r="R38" s="28">
        <f t="shared" si="5"/>
        <v>1</v>
      </c>
      <c r="S38" s="28">
        <f t="shared" si="6"/>
        <v>2</v>
      </c>
      <c r="T38" s="28">
        <f>SUMIF('Stock In Log'!C:C, H38, 'Stock In Log'!D:D) - SUMIF('Stock Out Log'!C:C, H38, 'Stock Out Log'!D:D)</f>
        <v>5</v>
      </c>
      <c r="U38" s="27">
        <f t="shared" si="7"/>
        <v>0</v>
      </c>
      <c r="V38" s="29" t="str">
        <f t="shared" si="8"/>
        <v>ปกติ</v>
      </c>
      <c r="W38" s="26" t="str">
        <f t="shared" si="9"/>
        <v>🟢 ปกติ</v>
      </c>
      <c r="X38" s="26">
        <v>6</v>
      </c>
      <c r="Y38" s="25" t="s">
        <v>54</v>
      </c>
      <c r="Z38" s="28">
        <v>45</v>
      </c>
      <c r="AA38" s="26" t="s">
        <v>131</v>
      </c>
      <c r="AB38" s="26"/>
    </row>
    <row r="39" spans="1:28" ht="15" customHeight="1" x14ac:dyDescent="0.3">
      <c r="A39" s="26">
        <v>38</v>
      </c>
      <c r="B39" s="25" t="s">
        <v>7</v>
      </c>
      <c r="C39" s="25" t="s">
        <v>177</v>
      </c>
      <c r="D39" s="26" t="s">
        <v>64</v>
      </c>
      <c r="E39" s="26"/>
      <c r="F39" s="26" t="s">
        <v>178</v>
      </c>
      <c r="G39" s="25" t="s">
        <v>179</v>
      </c>
      <c r="H39" s="26" t="s">
        <v>180</v>
      </c>
      <c r="I39" s="25" t="s">
        <v>181</v>
      </c>
      <c r="J39" s="26" t="s">
        <v>49</v>
      </c>
      <c r="K39" s="26" t="s">
        <v>177</v>
      </c>
      <c r="L39" s="26"/>
      <c r="M39" s="26" t="s">
        <v>52</v>
      </c>
      <c r="N39" s="27">
        <v>12271</v>
      </c>
      <c r="O39" s="27" t="s">
        <v>182</v>
      </c>
      <c r="P39" s="28">
        <v>2</v>
      </c>
      <c r="Q39" s="28">
        <v>1</v>
      </c>
      <c r="R39" s="28">
        <f t="shared" si="5"/>
        <v>1</v>
      </c>
      <c r="S39" s="28">
        <f t="shared" si="6"/>
        <v>2</v>
      </c>
      <c r="T39" s="28">
        <f>SUMIF('Stock In Log'!C:C, H39, 'Stock In Log'!D:D) - SUMIF('Stock Out Log'!C:C, H39, 'Stock Out Log'!D:D)</f>
        <v>0</v>
      </c>
      <c r="U39" s="27">
        <f t="shared" si="7"/>
        <v>0</v>
      </c>
      <c r="V39" s="29" t="str">
        <f t="shared" si="8"/>
        <v>ควรสั่งซื้อ</v>
      </c>
      <c r="W39" s="26" t="str">
        <f t="shared" si="9"/>
        <v>🔴 วิกฤต! (ของหมด)</v>
      </c>
      <c r="X39" s="26">
        <v>6</v>
      </c>
      <c r="Y39" s="25" t="s">
        <v>54</v>
      </c>
      <c r="Z39" s="28">
        <v>0</v>
      </c>
      <c r="AA39" s="26" t="s">
        <v>131</v>
      </c>
      <c r="AB39" s="26"/>
    </row>
    <row r="40" spans="1:28" ht="15" customHeight="1" x14ac:dyDescent="0.3">
      <c r="A40" s="26">
        <v>39</v>
      </c>
      <c r="B40" s="25" t="s">
        <v>7</v>
      </c>
      <c r="C40" s="25" t="s">
        <v>177</v>
      </c>
      <c r="D40" s="26" t="s">
        <v>64</v>
      </c>
      <c r="E40" s="26"/>
      <c r="F40" s="26" t="s">
        <v>178</v>
      </c>
      <c r="G40" s="25" t="s">
        <v>179</v>
      </c>
      <c r="H40" s="26" t="s">
        <v>183</v>
      </c>
      <c r="I40" s="25" t="s">
        <v>184</v>
      </c>
      <c r="J40" s="26" t="s">
        <v>49</v>
      </c>
      <c r="K40" s="26" t="s">
        <v>177</v>
      </c>
      <c r="L40" s="26"/>
      <c r="M40" s="26" t="s">
        <v>52</v>
      </c>
      <c r="N40" s="27">
        <v>36.85</v>
      </c>
      <c r="O40" s="27" t="s">
        <v>185</v>
      </c>
      <c r="P40" s="28">
        <v>20</v>
      </c>
      <c r="Q40" s="28">
        <v>12</v>
      </c>
      <c r="R40" s="28">
        <f t="shared" si="5"/>
        <v>6</v>
      </c>
      <c r="S40" s="28">
        <f t="shared" si="6"/>
        <v>18</v>
      </c>
      <c r="T40" s="28">
        <f>SUMIF('Stock In Log'!C:C, H40, 'Stock In Log'!D:D) - SUMIF('Stock Out Log'!C:C, H40, 'Stock Out Log'!D:D)</f>
        <v>0</v>
      </c>
      <c r="U40" s="27">
        <f t="shared" si="7"/>
        <v>0</v>
      </c>
      <c r="V40" s="29" t="str">
        <f t="shared" si="8"/>
        <v>ควรสั่งซื้อ</v>
      </c>
      <c r="W40" s="26" t="str">
        <f t="shared" si="9"/>
        <v>🔴 วิกฤต! (ของหมด)</v>
      </c>
      <c r="X40" s="26">
        <v>6</v>
      </c>
      <c r="Y40" s="25" t="s">
        <v>54</v>
      </c>
      <c r="Z40" s="28">
        <v>0</v>
      </c>
      <c r="AA40" s="26" t="s">
        <v>131</v>
      </c>
      <c r="AB40" s="26"/>
    </row>
    <row r="41" spans="1:28" ht="15" customHeight="1" x14ac:dyDescent="0.3">
      <c r="A41" s="26">
        <v>40</v>
      </c>
      <c r="B41" s="25" t="s">
        <v>7</v>
      </c>
      <c r="C41" s="25" t="s">
        <v>177</v>
      </c>
      <c r="D41" s="26" t="s">
        <v>64</v>
      </c>
      <c r="E41" s="26"/>
      <c r="F41" s="26" t="s">
        <v>178</v>
      </c>
      <c r="G41" s="25" t="s">
        <v>179</v>
      </c>
      <c r="H41" s="26" t="s">
        <v>186</v>
      </c>
      <c r="I41" s="25" t="s">
        <v>187</v>
      </c>
      <c r="J41" s="26" t="s">
        <v>49</v>
      </c>
      <c r="K41" s="26" t="s">
        <v>177</v>
      </c>
      <c r="L41" s="26"/>
      <c r="M41" s="26" t="s">
        <v>52</v>
      </c>
      <c r="N41" s="27">
        <v>36.85</v>
      </c>
      <c r="O41" s="27" t="s">
        <v>188</v>
      </c>
      <c r="P41" s="28">
        <v>2</v>
      </c>
      <c r="Q41" s="28">
        <v>1</v>
      </c>
      <c r="R41" s="28">
        <f t="shared" si="5"/>
        <v>1</v>
      </c>
      <c r="S41" s="28">
        <f t="shared" si="6"/>
        <v>2</v>
      </c>
      <c r="T41" s="28">
        <f>SUMIF('Stock In Log'!C:C, H41, 'Stock In Log'!D:D) - SUMIF('Stock Out Log'!C:C, H41, 'Stock Out Log'!D:D)</f>
        <v>0</v>
      </c>
      <c r="U41" s="27">
        <f t="shared" si="7"/>
        <v>0</v>
      </c>
      <c r="V41" s="29" t="str">
        <f t="shared" si="8"/>
        <v>ควรสั่งซื้อ</v>
      </c>
      <c r="W41" s="26" t="str">
        <f t="shared" si="9"/>
        <v>🔴 วิกฤต! (ของหมด)</v>
      </c>
      <c r="X41" s="26">
        <v>6</v>
      </c>
      <c r="Y41" s="25" t="s">
        <v>54</v>
      </c>
      <c r="Z41" s="28">
        <v>0</v>
      </c>
      <c r="AA41" s="26" t="s">
        <v>131</v>
      </c>
      <c r="AB41" s="26" t="s">
        <v>69</v>
      </c>
    </row>
    <row r="42" spans="1:28" ht="15" customHeight="1" x14ac:dyDescent="0.3">
      <c r="A42" s="26">
        <v>41</v>
      </c>
      <c r="B42" s="25" t="s">
        <v>7</v>
      </c>
      <c r="C42" s="25" t="s">
        <v>177</v>
      </c>
      <c r="D42" s="26" t="s">
        <v>64</v>
      </c>
      <c r="E42" s="26"/>
      <c r="F42" s="26" t="s">
        <v>178</v>
      </c>
      <c r="G42" s="25" t="s">
        <v>179</v>
      </c>
      <c r="H42" s="26" t="s">
        <v>189</v>
      </c>
      <c r="I42" s="25" t="s">
        <v>190</v>
      </c>
      <c r="J42" s="26" t="s">
        <v>49</v>
      </c>
      <c r="K42" s="26" t="s">
        <v>177</v>
      </c>
      <c r="L42" s="26"/>
      <c r="M42" s="26" t="s">
        <v>52</v>
      </c>
      <c r="N42" s="27">
        <v>3685</v>
      </c>
      <c r="O42" s="27" t="s">
        <v>191</v>
      </c>
      <c r="P42" s="28">
        <v>2</v>
      </c>
      <c r="Q42" s="28">
        <v>1</v>
      </c>
      <c r="R42" s="28">
        <f t="shared" si="5"/>
        <v>1</v>
      </c>
      <c r="S42" s="28">
        <f t="shared" si="6"/>
        <v>2</v>
      </c>
      <c r="T42" s="28">
        <f>SUMIF('Stock In Log'!C:C, H42, 'Stock In Log'!D:D) - SUMIF('Stock Out Log'!C:C, H42, 'Stock Out Log'!D:D)</f>
        <v>0</v>
      </c>
      <c r="U42" s="27">
        <f t="shared" si="7"/>
        <v>0</v>
      </c>
      <c r="V42" s="29" t="str">
        <f t="shared" si="8"/>
        <v>ควรสั่งซื้อ</v>
      </c>
      <c r="W42" s="26" t="str">
        <f t="shared" si="9"/>
        <v>🔴 วิกฤต! (ของหมด)</v>
      </c>
      <c r="X42" s="26">
        <v>6</v>
      </c>
      <c r="Y42" s="25" t="s">
        <v>54</v>
      </c>
      <c r="Z42" s="28">
        <v>0</v>
      </c>
      <c r="AA42" s="26" t="s">
        <v>131</v>
      </c>
      <c r="AB42" s="26" t="s">
        <v>69</v>
      </c>
    </row>
    <row r="43" spans="1:28" ht="15" customHeight="1" x14ac:dyDescent="0.3">
      <c r="A43" s="26">
        <v>42</v>
      </c>
      <c r="B43" s="25" t="s">
        <v>7</v>
      </c>
      <c r="C43" s="25" t="s">
        <v>177</v>
      </c>
      <c r="D43" s="26" t="s">
        <v>64</v>
      </c>
      <c r="E43" s="26"/>
      <c r="F43" s="26" t="s">
        <v>178</v>
      </c>
      <c r="G43" s="25" t="s">
        <v>179</v>
      </c>
      <c r="H43" s="26" t="s">
        <v>192</v>
      </c>
      <c r="I43" s="25" t="s">
        <v>193</v>
      </c>
      <c r="J43" s="26" t="s">
        <v>49</v>
      </c>
      <c r="K43" s="26" t="s">
        <v>177</v>
      </c>
      <c r="L43" s="26"/>
      <c r="M43" s="26" t="s">
        <v>52</v>
      </c>
      <c r="N43" s="27">
        <v>36.85</v>
      </c>
      <c r="O43" s="27" t="s">
        <v>194</v>
      </c>
      <c r="P43" s="28">
        <v>2</v>
      </c>
      <c r="Q43" s="28">
        <v>1</v>
      </c>
      <c r="R43" s="28">
        <f t="shared" si="5"/>
        <v>1</v>
      </c>
      <c r="S43" s="28">
        <f t="shared" si="6"/>
        <v>2</v>
      </c>
      <c r="T43" s="28">
        <f>SUMIF('Stock In Log'!C:C, H43, 'Stock In Log'!D:D) - SUMIF('Stock Out Log'!C:C, H43, 'Stock Out Log'!D:D)</f>
        <v>0</v>
      </c>
      <c r="U43" s="27">
        <f t="shared" si="7"/>
        <v>0</v>
      </c>
      <c r="V43" s="29" t="str">
        <f t="shared" si="8"/>
        <v>ควรสั่งซื้อ</v>
      </c>
      <c r="W43" s="26" t="str">
        <f t="shared" si="9"/>
        <v>🔴 วิกฤต! (ของหมด)</v>
      </c>
      <c r="X43" s="26">
        <v>6</v>
      </c>
      <c r="Y43" s="25" t="s">
        <v>54</v>
      </c>
      <c r="Z43" s="28">
        <v>0</v>
      </c>
      <c r="AA43" s="26" t="s">
        <v>131</v>
      </c>
      <c r="AB43" s="26" t="s">
        <v>69</v>
      </c>
    </row>
    <row r="44" spans="1:28" ht="15" customHeight="1" x14ac:dyDescent="0.3">
      <c r="A44" s="26">
        <v>43</v>
      </c>
      <c r="B44" s="25" t="s">
        <v>7</v>
      </c>
      <c r="C44" s="25" t="s">
        <v>177</v>
      </c>
      <c r="D44" s="26" t="s">
        <v>64</v>
      </c>
      <c r="E44" s="26"/>
      <c r="F44" s="26" t="s">
        <v>178</v>
      </c>
      <c r="G44" s="25" t="s">
        <v>46</v>
      </c>
      <c r="H44" s="26" t="s">
        <v>195</v>
      </c>
      <c r="I44" s="25" t="s">
        <v>196</v>
      </c>
      <c r="J44" s="26" t="s">
        <v>146</v>
      </c>
      <c r="K44" s="26" t="s">
        <v>197</v>
      </c>
      <c r="L44" s="26"/>
      <c r="M44" s="26" t="s">
        <v>52</v>
      </c>
      <c r="N44" s="27">
        <v>0</v>
      </c>
      <c r="O44" s="27" t="s">
        <v>198</v>
      </c>
      <c r="P44" s="28">
        <v>0</v>
      </c>
      <c r="Q44" s="28">
        <v>0</v>
      </c>
      <c r="R44" s="28">
        <f t="shared" si="5"/>
        <v>0</v>
      </c>
      <c r="S44" s="28">
        <f t="shared" si="6"/>
        <v>0</v>
      </c>
      <c r="T44" s="28">
        <f>SUMIF('Stock In Log'!C:C, H44, 'Stock In Log'!D:D) - SUMIF('Stock Out Log'!C:C, H44, 'Stock Out Log'!D:D)</f>
        <v>0</v>
      </c>
      <c r="U44" s="27">
        <f t="shared" si="7"/>
        <v>0</v>
      </c>
      <c r="V44" s="29" t="str">
        <f t="shared" si="8"/>
        <v>ควรสั่งซื้อ</v>
      </c>
      <c r="W44" s="26" t="str">
        <f t="shared" si="9"/>
        <v>🔴 วิกฤต! (ของหมด)</v>
      </c>
      <c r="X44" s="26">
        <v>9</v>
      </c>
      <c r="Y44" s="25" t="s">
        <v>54</v>
      </c>
      <c r="Z44" s="28">
        <v>0</v>
      </c>
      <c r="AA44" s="26"/>
      <c r="AB44" s="26"/>
    </row>
    <row r="45" spans="1:28" ht="15" customHeight="1" x14ac:dyDescent="0.3">
      <c r="A45" s="26">
        <v>44</v>
      </c>
      <c r="B45" s="25" t="s">
        <v>7</v>
      </c>
      <c r="C45" s="25" t="s">
        <v>177</v>
      </c>
      <c r="D45" s="26" t="s">
        <v>64</v>
      </c>
      <c r="E45" s="26"/>
      <c r="F45" s="26" t="s">
        <v>178</v>
      </c>
      <c r="G45" s="25" t="s">
        <v>46</v>
      </c>
      <c r="H45" s="26" t="s">
        <v>199</v>
      </c>
      <c r="I45" s="25" t="s">
        <v>200</v>
      </c>
      <c r="J45" s="26" t="s">
        <v>146</v>
      </c>
      <c r="K45" s="26" t="s">
        <v>197</v>
      </c>
      <c r="L45" s="26"/>
      <c r="M45" s="26" t="s">
        <v>52</v>
      </c>
      <c r="N45" s="27">
        <v>0</v>
      </c>
      <c r="O45" s="27" t="s">
        <v>201</v>
      </c>
      <c r="P45" s="28">
        <v>0</v>
      </c>
      <c r="Q45" s="28">
        <v>0</v>
      </c>
      <c r="R45" s="28">
        <f t="shared" si="5"/>
        <v>0</v>
      </c>
      <c r="S45" s="28">
        <f t="shared" si="6"/>
        <v>0</v>
      </c>
      <c r="T45" s="28">
        <f>SUMIF('Stock In Log'!C:C, H45, 'Stock In Log'!D:D) - SUMIF('Stock Out Log'!C:C, H45, 'Stock Out Log'!D:D)</f>
        <v>0</v>
      </c>
      <c r="U45" s="27">
        <f t="shared" si="7"/>
        <v>0</v>
      </c>
      <c r="V45" s="29" t="str">
        <f t="shared" si="8"/>
        <v>ควรสั่งซื้อ</v>
      </c>
      <c r="W45" s="26" t="str">
        <f t="shared" si="9"/>
        <v>🔴 วิกฤต! (ของหมด)</v>
      </c>
      <c r="X45" s="26">
        <v>9</v>
      </c>
      <c r="Y45" s="25" t="s">
        <v>54</v>
      </c>
      <c r="Z45" s="28">
        <v>0</v>
      </c>
      <c r="AA45" s="26"/>
      <c r="AB45" s="26"/>
    </row>
    <row r="46" spans="1:28" ht="15" customHeight="1" x14ac:dyDescent="0.3">
      <c r="A46" s="26">
        <v>45</v>
      </c>
      <c r="B46" s="25" t="s">
        <v>7</v>
      </c>
      <c r="C46" s="25" t="s">
        <v>177</v>
      </c>
      <c r="D46" s="26" t="s">
        <v>64</v>
      </c>
      <c r="E46" s="26"/>
      <c r="F46" s="26" t="s">
        <v>178</v>
      </c>
      <c r="G46" s="25" t="s">
        <v>46</v>
      </c>
      <c r="H46" s="26" t="s">
        <v>202</v>
      </c>
      <c r="I46" s="25" t="s">
        <v>203</v>
      </c>
      <c r="J46" s="26" t="s">
        <v>146</v>
      </c>
      <c r="K46" s="26" t="s">
        <v>197</v>
      </c>
      <c r="L46" s="26"/>
      <c r="M46" s="26" t="s">
        <v>52</v>
      </c>
      <c r="N46" s="27">
        <v>0</v>
      </c>
      <c r="O46" s="27" t="s">
        <v>204</v>
      </c>
      <c r="P46" s="28">
        <v>0</v>
      </c>
      <c r="Q46" s="28">
        <v>0</v>
      </c>
      <c r="R46" s="28">
        <f t="shared" si="5"/>
        <v>0</v>
      </c>
      <c r="S46" s="28">
        <f t="shared" si="6"/>
        <v>0</v>
      </c>
      <c r="T46" s="28">
        <f>SUMIF('Stock In Log'!C:C, H46, 'Stock In Log'!D:D) - SUMIF('Stock Out Log'!C:C, H46, 'Stock Out Log'!D:D)</f>
        <v>0</v>
      </c>
      <c r="U46" s="27">
        <f t="shared" si="7"/>
        <v>0</v>
      </c>
      <c r="V46" s="29" t="str">
        <f t="shared" si="8"/>
        <v>ควรสั่งซื้อ</v>
      </c>
      <c r="W46" s="26" t="str">
        <f t="shared" si="9"/>
        <v>🔴 วิกฤต! (ของหมด)</v>
      </c>
      <c r="X46" s="26">
        <v>9</v>
      </c>
      <c r="Y46" s="25" t="s">
        <v>54</v>
      </c>
      <c r="Z46" s="28">
        <v>0</v>
      </c>
      <c r="AA46" s="26"/>
      <c r="AB46" s="26"/>
    </row>
    <row r="47" spans="1:28" ht="15" customHeight="1" x14ac:dyDescent="0.3">
      <c r="A47" s="26">
        <v>46</v>
      </c>
      <c r="B47" s="25" t="s">
        <v>205</v>
      </c>
      <c r="C47" s="25" t="s">
        <v>206</v>
      </c>
      <c r="D47" s="26" t="s">
        <v>207</v>
      </c>
      <c r="E47" s="26"/>
      <c r="F47" s="26"/>
      <c r="G47" s="25" t="s">
        <v>208</v>
      </c>
      <c r="H47" s="26" t="s">
        <v>209</v>
      </c>
      <c r="I47" s="25" t="s">
        <v>210</v>
      </c>
      <c r="J47" s="26" t="s">
        <v>146</v>
      </c>
      <c r="K47" s="26"/>
      <c r="L47" s="26"/>
      <c r="M47" s="26" t="s">
        <v>52</v>
      </c>
      <c r="N47" s="27">
        <v>0</v>
      </c>
      <c r="O47" s="27" t="s">
        <v>211</v>
      </c>
      <c r="P47" s="28">
        <v>5</v>
      </c>
      <c r="Q47" s="28">
        <v>3</v>
      </c>
      <c r="R47" s="28">
        <f t="shared" si="5"/>
        <v>2</v>
      </c>
      <c r="S47" s="28">
        <f t="shared" si="6"/>
        <v>5</v>
      </c>
      <c r="T47" s="28">
        <f>SUMIF('Stock In Log'!C:C, H47, 'Stock In Log'!D:D) - SUMIF('Stock Out Log'!C:C, H47, 'Stock Out Log'!D:D)</f>
        <v>0</v>
      </c>
      <c r="U47" s="27">
        <f t="shared" si="7"/>
        <v>0</v>
      </c>
      <c r="V47" s="29" t="str">
        <f t="shared" si="8"/>
        <v>ควรสั่งซื้อ</v>
      </c>
      <c r="W47" s="26" t="str">
        <f t="shared" si="9"/>
        <v>🔴 วิกฤต! (ของหมด)</v>
      </c>
      <c r="X47" s="26">
        <v>9</v>
      </c>
      <c r="Y47" s="25" t="s">
        <v>54</v>
      </c>
      <c r="Z47" s="28">
        <v>0</v>
      </c>
      <c r="AA47" s="26"/>
      <c r="AB47" s="26"/>
    </row>
    <row r="48" spans="1:28" ht="15" customHeight="1" x14ac:dyDescent="0.3">
      <c r="A48" s="26">
        <v>47</v>
      </c>
      <c r="B48" s="25" t="s">
        <v>205</v>
      </c>
      <c r="C48" s="25" t="s">
        <v>206</v>
      </c>
      <c r="D48" s="26" t="s">
        <v>207</v>
      </c>
      <c r="E48" s="26"/>
      <c r="F48" s="26"/>
      <c r="G48" s="25" t="s">
        <v>212</v>
      </c>
      <c r="H48" s="26" t="s">
        <v>213</v>
      </c>
      <c r="I48" s="25" t="s">
        <v>210</v>
      </c>
      <c r="J48" s="26" t="s">
        <v>146</v>
      </c>
      <c r="K48" s="26"/>
      <c r="L48" s="26"/>
      <c r="M48" s="26" t="s">
        <v>52</v>
      </c>
      <c r="N48" s="27">
        <v>0</v>
      </c>
      <c r="O48" s="27" t="s">
        <v>214</v>
      </c>
      <c r="P48" s="28">
        <v>3</v>
      </c>
      <c r="Q48" s="28">
        <v>2</v>
      </c>
      <c r="R48" s="28">
        <f t="shared" si="5"/>
        <v>1</v>
      </c>
      <c r="S48" s="28">
        <f t="shared" si="6"/>
        <v>3</v>
      </c>
      <c r="T48" s="28">
        <f>SUMIF('Stock In Log'!C:C, H48, 'Stock In Log'!D:D) - SUMIF('Stock Out Log'!C:C, H48, 'Stock Out Log'!D:D)</f>
        <v>1</v>
      </c>
      <c r="U48" s="27">
        <f t="shared" si="7"/>
        <v>0</v>
      </c>
      <c r="V48" s="29" t="str">
        <f t="shared" si="8"/>
        <v>ควรสั่งซื้อ</v>
      </c>
      <c r="W48" s="26" t="str">
        <f t="shared" si="9"/>
        <v>🟡 ควรสั่งซื้อ (ต่ำกว่า ROP)</v>
      </c>
      <c r="X48" s="26">
        <v>9</v>
      </c>
      <c r="Y48" s="25" t="s">
        <v>54</v>
      </c>
      <c r="Z48" s="28">
        <v>0</v>
      </c>
      <c r="AA48" s="26"/>
      <c r="AB48" s="26"/>
    </row>
    <row r="49" spans="1:28" ht="15" customHeight="1" x14ac:dyDescent="0.3">
      <c r="A49" s="26">
        <v>48</v>
      </c>
      <c r="B49" s="25" t="s">
        <v>205</v>
      </c>
      <c r="C49" s="25" t="s">
        <v>206</v>
      </c>
      <c r="D49" s="26" t="s">
        <v>207</v>
      </c>
      <c r="E49" s="26"/>
      <c r="F49" s="26"/>
      <c r="G49" s="25" t="s">
        <v>215</v>
      </c>
      <c r="H49" s="26" t="s">
        <v>216</v>
      </c>
      <c r="I49" s="25" t="s">
        <v>217</v>
      </c>
      <c r="J49" s="26" t="s">
        <v>146</v>
      </c>
      <c r="K49" s="26" t="s">
        <v>218</v>
      </c>
      <c r="L49" s="26"/>
      <c r="M49" s="26" t="s">
        <v>52</v>
      </c>
      <c r="N49" s="27">
        <v>0</v>
      </c>
      <c r="O49" s="27" t="s">
        <v>219</v>
      </c>
      <c r="P49" s="28">
        <v>2</v>
      </c>
      <c r="Q49" s="28">
        <v>1</v>
      </c>
      <c r="R49" s="28">
        <f t="shared" si="5"/>
        <v>1</v>
      </c>
      <c r="S49" s="28">
        <f t="shared" si="6"/>
        <v>2</v>
      </c>
      <c r="T49" s="28">
        <f>SUMIF('Stock In Log'!C:C, H49, 'Stock In Log'!D:D) - SUMIF('Stock Out Log'!C:C, H49, 'Stock Out Log'!D:D)</f>
        <v>0</v>
      </c>
      <c r="U49" s="27">
        <f t="shared" si="7"/>
        <v>0</v>
      </c>
      <c r="V49" s="29" t="str">
        <f t="shared" si="8"/>
        <v>ควรสั่งซื้อ</v>
      </c>
      <c r="W49" s="26" t="str">
        <f t="shared" si="9"/>
        <v>🔴 วิกฤต! (ของหมด)</v>
      </c>
      <c r="X49" s="26">
        <v>9</v>
      </c>
      <c r="Y49" s="25" t="s">
        <v>54</v>
      </c>
      <c r="Z49" s="28">
        <v>0</v>
      </c>
      <c r="AA49" s="26"/>
      <c r="AB49" s="26" t="s">
        <v>220</v>
      </c>
    </row>
    <row r="50" spans="1:28" ht="15" customHeight="1" x14ac:dyDescent="0.3">
      <c r="A50" s="26">
        <v>49</v>
      </c>
      <c r="B50" s="25" t="s">
        <v>205</v>
      </c>
      <c r="C50" s="25" t="s">
        <v>206</v>
      </c>
      <c r="D50" s="26" t="s">
        <v>207</v>
      </c>
      <c r="E50" s="26"/>
      <c r="F50" s="26"/>
      <c r="G50" s="25" t="s">
        <v>215</v>
      </c>
      <c r="H50" s="26" t="s">
        <v>221</v>
      </c>
      <c r="I50" s="25" t="s">
        <v>222</v>
      </c>
      <c r="J50" s="26" t="s">
        <v>146</v>
      </c>
      <c r="K50" s="26" t="s">
        <v>223</v>
      </c>
      <c r="L50" s="26"/>
      <c r="M50" s="26" t="s">
        <v>52</v>
      </c>
      <c r="N50" s="27">
        <v>0</v>
      </c>
      <c r="O50" s="27" t="s">
        <v>224</v>
      </c>
      <c r="P50" s="28">
        <v>2</v>
      </c>
      <c r="Q50" s="28">
        <v>1</v>
      </c>
      <c r="R50" s="28">
        <f t="shared" si="5"/>
        <v>1</v>
      </c>
      <c r="S50" s="28">
        <f t="shared" si="6"/>
        <v>2</v>
      </c>
      <c r="T50" s="28">
        <f>SUMIF('Stock In Log'!C:C, H50, 'Stock In Log'!D:D) - SUMIF('Stock Out Log'!C:C, H50, 'Stock Out Log'!D:D)</f>
        <v>0</v>
      </c>
      <c r="U50" s="27">
        <f t="shared" si="7"/>
        <v>0</v>
      </c>
      <c r="V50" s="29" t="str">
        <f t="shared" si="8"/>
        <v>ควรสั่งซื้อ</v>
      </c>
      <c r="W50" s="26" t="str">
        <f t="shared" si="9"/>
        <v>🔴 วิกฤต! (ของหมด)</v>
      </c>
      <c r="X50" s="26">
        <v>9</v>
      </c>
      <c r="Y50" s="25" t="s">
        <v>54</v>
      </c>
      <c r="Z50" s="28">
        <v>0</v>
      </c>
      <c r="AA50" s="26"/>
      <c r="AB50" s="26" t="s">
        <v>225</v>
      </c>
    </row>
    <row r="51" spans="1:28" ht="15" customHeight="1" x14ac:dyDescent="0.3">
      <c r="A51" s="26">
        <v>50</v>
      </c>
      <c r="B51" s="25" t="s">
        <v>205</v>
      </c>
      <c r="C51" s="25" t="s">
        <v>206</v>
      </c>
      <c r="D51" s="26" t="s">
        <v>207</v>
      </c>
      <c r="E51" s="26"/>
      <c r="F51" s="26"/>
      <c r="G51" s="25" t="s">
        <v>215</v>
      </c>
      <c r="H51" s="26" t="s">
        <v>226</v>
      </c>
      <c r="I51" s="25" t="s">
        <v>227</v>
      </c>
      <c r="J51" s="26" t="s">
        <v>146</v>
      </c>
      <c r="K51" s="26" t="s">
        <v>228</v>
      </c>
      <c r="L51" s="26"/>
      <c r="M51" s="26" t="s">
        <v>52</v>
      </c>
      <c r="N51" s="27">
        <v>0</v>
      </c>
      <c r="O51" s="27" t="s">
        <v>229</v>
      </c>
      <c r="P51" s="28">
        <v>2</v>
      </c>
      <c r="Q51" s="28">
        <v>1</v>
      </c>
      <c r="R51" s="28">
        <f t="shared" si="5"/>
        <v>1</v>
      </c>
      <c r="S51" s="28">
        <f t="shared" si="6"/>
        <v>2</v>
      </c>
      <c r="T51" s="28">
        <f>SUMIF('Stock In Log'!C:C, H51, 'Stock In Log'!D:D) - SUMIF('Stock Out Log'!C:C, H51, 'Stock Out Log'!D:D)</f>
        <v>0</v>
      </c>
      <c r="U51" s="27">
        <f t="shared" si="7"/>
        <v>0</v>
      </c>
      <c r="V51" s="29" t="str">
        <f t="shared" si="8"/>
        <v>ควรสั่งซื้อ</v>
      </c>
      <c r="W51" s="26" t="str">
        <f t="shared" si="9"/>
        <v>🔴 วิกฤต! (ของหมด)</v>
      </c>
      <c r="X51" s="26">
        <v>9</v>
      </c>
      <c r="Y51" s="25" t="s">
        <v>54</v>
      </c>
      <c r="Z51" s="28">
        <v>0</v>
      </c>
      <c r="AA51" s="26"/>
      <c r="AB51" s="26"/>
    </row>
    <row r="52" spans="1:28" ht="15" customHeight="1" x14ac:dyDescent="0.3">
      <c r="A52" s="26">
        <v>51</v>
      </c>
      <c r="B52" s="25" t="s">
        <v>205</v>
      </c>
      <c r="C52" s="25" t="s">
        <v>206</v>
      </c>
      <c r="D52" s="26" t="s">
        <v>207</v>
      </c>
      <c r="E52" s="26"/>
      <c r="F52" s="26"/>
      <c r="G52" s="25" t="s">
        <v>215</v>
      </c>
      <c r="H52" s="26" t="s">
        <v>230</v>
      </c>
      <c r="I52" s="25" t="s">
        <v>231</v>
      </c>
      <c r="J52" s="26" t="s">
        <v>146</v>
      </c>
      <c r="K52" s="26" t="s">
        <v>232</v>
      </c>
      <c r="L52" s="26"/>
      <c r="M52" s="26" t="s">
        <v>52</v>
      </c>
      <c r="N52" s="27">
        <v>0</v>
      </c>
      <c r="O52" s="27" t="s">
        <v>233</v>
      </c>
      <c r="P52" s="28">
        <v>2</v>
      </c>
      <c r="Q52" s="28">
        <v>1</v>
      </c>
      <c r="R52" s="28">
        <f t="shared" si="5"/>
        <v>1</v>
      </c>
      <c r="S52" s="28">
        <f t="shared" si="6"/>
        <v>2</v>
      </c>
      <c r="T52" s="28">
        <f>SUMIF('Stock In Log'!C:C, H52, 'Stock In Log'!D:D) - SUMIF('Stock Out Log'!C:C, H52, 'Stock Out Log'!D:D)</f>
        <v>0</v>
      </c>
      <c r="U52" s="27">
        <f t="shared" si="7"/>
        <v>0</v>
      </c>
      <c r="V52" s="29" t="str">
        <f t="shared" si="8"/>
        <v>ควรสั่งซื้อ</v>
      </c>
      <c r="W52" s="26" t="str">
        <f t="shared" si="9"/>
        <v>🔴 วิกฤต! (ของหมด)</v>
      </c>
      <c r="X52" s="26">
        <v>9</v>
      </c>
      <c r="Y52" s="25" t="s">
        <v>54</v>
      </c>
      <c r="Z52" s="28">
        <v>0</v>
      </c>
      <c r="AA52" s="26"/>
      <c r="AB52" s="26"/>
    </row>
    <row r="53" spans="1:28" ht="15" customHeight="1" x14ac:dyDescent="0.3">
      <c r="A53" s="26">
        <v>52</v>
      </c>
      <c r="B53" s="25" t="s">
        <v>205</v>
      </c>
      <c r="C53" s="25" t="s">
        <v>206</v>
      </c>
      <c r="D53" s="26" t="s">
        <v>207</v>
      </c>
      <c r="E53" s="26"/>
      <c r="F53" s="26"/>
      <c r="G53" s="25" t="s">
        <v>215</v>
      </c>
      <c r="H53" s="26" t="s">
        <v>234</v>
      </c>
      <c r="I53" s="25" t="s">
        <v>235</v>
      </c>
      <c r="J53" s="26" t="s">
        <v>146</v>
      </c>
      <c r="K53" s="26" t="s">
        <v>236</v>
      </c>
      <c r="L53" s="26"/>
      <c r="M53" s="26" t="s">
        <v>52</v>
      </c>
      <c r="N53" s="27">
        <v>0</v>
      </c>
      <c r="O53" s="27" t="s">
        <v>237</v>
      </c>
      <c r="P53" s="28">
        <v>2</v>
      </c>
      <c r="Q53" s="28">
        <v>1</v>
      </c>
      <c r="R53" s="28">
        <f t="shared" si="5"/>
        <v>1</v>
      </c>
      <c r="S53" s="28">
        <f t="shared" si="6"/>
        <v>2</v>
      </c>
      <c r="T53" s="28">
        <f>SUMIF('Stock In Log'!C:C, H53, 'Stock In Log'!D:D) - SUMIF('Stock Out Log'!C:C, H53, 'Stock Out Log'!D:D)</f>
        <v>0</v>
      </c>
      <c r="U53" s="27">
        <f t="shared" si="7"/>
        <v>0</v>
      </c>
      <c r="V53" s="29" t="str">
        <f t="shared" si="8"/>
        <v>ควรสั่งซื้อ</v>
      </c>
      <c r="W53" s="26" t="str">
        <f t="shared" si="9"/>
        <v>🔴 วิกฤต! (ของหมด)</v>
      </c>
      <c r="X53" s="26">
        <v>9</v>
      </c>
      <c r="Y53" s="25" t="s">
        <v>54</v>
      </c>
      <c r="Z53" s="28">
        <v>0</v>
      </c>
      <c r="AA53" s="26"/>
      <c r="AB53" s="26"/>
    </row>
    <row r="54" spans="1:28" ht="15" customHeight="1" x14ac:dyDescent="0.3">
      <c r="A54" s="26">
        <v>53</v>
      </c>
      <c r="B54" s="25" t="s">
        <v>205</v>
      </c>
      <c r="C54" s="25" t="s">
        <v>206</v>
      </c>
      <c r="D54" s="26" t="s">
        <v>207</v>
      </c>
      <c r="E54" s="26"/>
      <c r="F54" s="26"/>
      <c r="G54" s="25" t="s">
        <v>215</v>
      </c>
      <c r="H54" s="26" t="s">
        <v>238</v>
      </c>
      <c r="I54" s="25" t="s">
        <v>239</v>
      </c>
      <c r="J54" s="26" t="s">
        <v>146</v>
      </c>
      <c r="K54" s="26" t="s">
        <v>240</v>
      </c>
      <c r="L54" s="26"/>
      <c r="M54" s="26" t="s">
        <v>52</v>
      </c>
      <c r="N54" s="27">
        <v>0</v>
      </c>
      <c r="O54" s="27" t="s">
        <v>241</v>
      </c>
      <c r="P54" s="28">
        <v>0</v>
      </c>
      <c r="Q54" s="28">
        <v>0</v>
      </c>
      <c r="R54" s="28">
        <f t="shared" si="5"/>
        <v>0</v>
      </c>
      <c r="S54" s="28">
        <f t="shared" si="6"/>
        <v>0</v>
      </c>
      <c r="T54" s="28">
        <f>SUMIF('Stock In Log'!C:C, H54, 'Stock In Log'!D:D) - SUMIF('Stock Out Log'!C:C, H54, 'Stock Out Log'!D:D)</f>
        <v>0</v>
      </c>
      <c r="U54" s="27">
        <f t="shared" si="7"/>
        <v>0</v>
      </c>
      <c r="V54" s="29" t="str">
        <f t="shared" si="8"/>
        <v>ควรสั่งซื้อ</v>
      </c>
      <c r="W54" s="26" t="str">
        <f t="shared" si="9"/>
        <v>🔴 วิกฤต! (ของหมด)</v>
      </c>
      <c r="X54" s="26">
        <v>9</v>
      </c>
      <c r="Y54" s="25" t="s">
        <v>54</v>
      </c>
      <c r="Z54" s="28">
        <v>0</v>
      </c>
      <c r="AA54" s="26"/>
      <c r="AB54" s="26"/>
    </row>
    <row r="55" spans="1:28" ht="15" customHeight="1" x14ac:dyDescent="0.3">
      <c r="A55" s="26">
        <v>54</v>
      </c>
      <c r="B55" s="25" t="s">
        <v>205</v>
      </c>
      <c r="C55" s="25" t="s">
        <v>206</v>
      </c>
      <c r="D55" s="26" t="s">
        <v>207</v>
      </c>
      <c r="E55" s="26"/>
      <c r="F55" s="26"/>
      <c r="G55" s="25" t="s">
        <v>215</v>
      </c>
      <c r="H55" s="26" t="s">
        <v>242</v>
      </c>
      <c r="I55" s="25" t="s">
        <v>243</v>
      </c>
      <c r="J55" s="26" t="s">
        <v>49</v>
      </c>
      <c r="K55" s="26"/>
      <c r="L55" s="26"/>
      <c r="M55" s="26" t="s">
        <v>52</v>
      </c>
      <c r="N55" s="27">
        <v>0</v>
      </c>
      <c r="O55" s="27" t="s">
        <v>244</v>
      </c>
      <c r="P55" s="28">
        <v>3</v>
      </c>
      <c r="Q55" s="28">
        <v>2</v>
      </c>
      <c r="R55" s="28">
        <f t="shared" si="5"/>
        <v>1</v>
      </c>
      <c r="S55" s="28">
        <f t="shared" si="6"/>
        <v>3</v>
      </c>
      <c r="T55" s="28">
        <f>SUMIF('Stock In Log'!C:C, H55, 'Stock In Log'!D:D) - SUMIF('Stock Out Log'!C:C, H55, 'Stock Out Log'!D:D)</f>
        <v>0</v>
      </c>
      <c r="U55" s="27">
        <f t="shared" si="7"/>
        <v>0</v>
      </c>
      <c r="V55" s="29" t="str">
        <f t="shared" si="8"/>
        <v>ควรสั่งซื้อ</v>
      </c>
      <c r="W55" s="26" t="str">
        <f t="shared" si="9"/>
        <v>🔴 วิกฤต! (ของหมด)</v>
      </c>
      <c r="X55" s="26">
        <v>6</v>
      </c>
      <c r="Y55" s="25" t="s">
        <v>54</v>
      </c>
      <c r="Z55" s="28">
        <v>0</v>
      </c>
      <c r="AA55" s="26"/>
      <c r="AB55" s="26"/>
    </row>
    <row r="56" spans="1:28" ht="15" customHeight="1" x14ac:dyDescent="0.3">
      <c r="A56" s="26">
        <v>55</v>
      </c>
      <c r="B56" s="25" t="s">
        <v>205</v>
      </c>
      <c r="C56" s="25" t="s">
        <v>206</v>
      </c>
      <c r="D56" s="26" t="s">
        <v>207</v>
      </c>
      <c r="E56" s="26"/>
      <c r="F56" s="26"/>
      <c r="G56" s="25" t="s">
        <v>215</v>
      </c>
      <c r="H56" s="26" t="s">
        <v>245</v>
      </c>
      <c r="I56" s="25" t="s">
        <v>246</v>
      </c>
      <c r="J56" s="26" t="s">
        <v>146</v>
      </c>
      <c r="K56" s="26" t="s">
        <v>126</v>
      </c>
      <c r="L56" s="26"/>
      <c r="M56" s="26" t="s">
        <v>52</v>
      </c>
      <c r="N56" s="27">
        <v>0</v>
      </c>
      <c r="O56" s="27" t="s">
        <v>247</v>
      </c>
      <c r="P56" s="28">
        <v>0</v>
      </c>
      <c r="Q56" s="28">
        <v>0</v>
      </c>
      <c r="R56" s="28">
        <f t="shared" si="5"/>
        <v>0</v>
      </c>
      <c r="S56" s="28">
        <f t="shared" si="6"/>
        <v>0</v>
      </c>
      <c r="T56" s="28">
        <f>SUMIF('Stock In Log'!C:C, H56, 'Stock In Log'!D:D) - SUMIF('Stock Out Log'!C:C, H56, 'Stock Out Log'!D:D)</f>
        <v>0</v>
      </c>
      <c r="U56" s="27">
        <f t="shared" si="7"/>
        <v>0</v>
      </c>
      <c r="V56" s="29" t="str">
        <f t="shared" si="8"/>
        <v>ควรสั่งซื้อ</v>
      </c>
      <c r="W56" s="26" t="str">
        <f t="shared" si="9"/>
        <v>🔴 วิกฤต! (ของหมด)</v>
      </c>
      <c r="X56" s="26">
        <v>9</v>
      </c>
      <c r="Y56" s="25" t="s">
        <v>54</v>
      </c>
      <c r="Z56" s="28">
        <v>0</v>
      </c>
      <c r="AA56" s="26"/>
      <c r="AB56" s="26"/>
    </row>
    <row r="57" spans="1:28" ht="15" customHeight="1" x14ac:dyDescent="0.3">
      <c r="A57" s="26">
        <v>56</v>
      </c>
      <c r="B57" s="25" t="s">
        <v>205</v>
      </c>
      <c r="C57" s="25" t="s">
        <v>206</v>
      </c>
      <c r="D57" s="26" t="s">
        <v>207</v>
      </c>
      <c r="E57" s="26"/>
      <c r="F57" s="26"/>
      <c r="G57" s="25" t="s">
        <v>215</v>
      </c>
      <c r="H57" s="26" t="s">
        <v>248</v>
      </c>
      <c r="I57" s="25" t="s">
        <v>249</v>
      </c>
      <c r="J57" s="26"/>
      <c r="K57" s="26"/>
      <c r="L57" s="26"/>
      <c r="M57" s="26" t="s">
        <v>52</v>
      </c>
      <c r="N57" s="27">
        <v>0</v>
      </c>
      <c r="O57" s="27" t="s">
        <v>250</v>
      </c>
      <c r="P57" s="28">
        <v>3</v>
      </c>
      <c r="Q57" s="28">
        <v>2</v>
      </c>
      <c r="R57" s="28">
        <f t="shared" si="5"/>
        <v>1</v>
      </c>
      <c r="S57" s="28">
        <f t="shared" si="6"/>
        <v>3</v>
      </c>
      <c r="T57" s="28">
        <f>SUMIF('Stock In Log'!C:C, H57, 'Stock In Log'!D:D) - SUMIF('Stock Out Log'!C:C, H57, 'Stock Out Log'!D:D)</f>
        <v>0</v>
      </c>
      <c r="U57" s="27">
        <f t="shared" si="7"/>
        <v>0</v>
      </c>
      <c r="V57" s="29" t="str">
        <f t="shared" si="8"/>
        <v>ควรสั่งซื้อ</v>
      </c>
      <c r="W57" s="26" t="str">
        <f t="shared" si="9"/>
        <v>🔴 วิกฤต! (ของหมด)</v>
      </c>
      <c r="X57" s="26">
        <v>3</v>
      </c>
      <c r="Y57" s="25" t="s">
        <v>101</v>
      </c>
      <c r="Z57" s="28">
        <v>0</v>
      </c>
      <c r="AA57" s="26"/>
      <c r="AB57" s="26"/>
    </row>
    <row r="58" spans="1:28" ht="15" customHeight="1" x14ac:dyDescent="0.3">
      <c r="A58" s="26">
        <v>57</v>
      </c>
      <c r="B58" s="25" t="s">
        <v>205</v>
      </c>
      <c r="C58" s="25" t="s">
        <v>206</v>
      </c>
      <c r="D58" s="26" t="s">
        <v>207</v>
      </c>
      <c r="E58" s="26"/>
      <c r="F58" s="26"/>
      <c r="G58" s="25" t="s">
        <v>215</v>
      </c>
      <c r="H58" s="26" t="s">
        <v>251</v>
      </c>
      <c r="I58" s="25" t="s">
        <v>252</v>
      </c>
      <c r="J58" s="26" t="s">
        <v>146</v>
      </c>
      <c r="K58" s="26"/>
      <c r="L58" s="26"/>
      <c r="M58" s="26" t="s">
        <v>52</v>
      </c>
      <c r="N58" s="27">
        <v>0</v>
      </c>
      <c r="O58" s="27" t="s">
        <v>253</v>
      </c>
      <c r="P58" s="28">
        <v>3</v>
      </c>
      <c r="Q58" s="28">
        <v>2</v>
      </c>
      <c r="R58" s="28">
        <f t="shared" si="5"/>
        <v>1</v>
      </c>
      <c r="S58" s="28">
        <f t="shared" si="6"/>
        <v>3</v>
      </c>
      <c r="T58" s="28">
        <f>SUMIF('Stock In Log'!C:C, H58, 'Stock In Log'!D:D) - SUMIF('Stock Out Log'!C:C, H58, 'Stock Out Log'!D:D)</f>
        <v>0</v>
      </c>
      <c r="U58" s="27">
        <f t="shared" si="7"/>
        <v>0</v>
      </c>
      <c r="V58" s="29" t="str">
        <f t="shared" si="8"/>
        <v>ควรสั่งซื้อ</v>
      </c>
      <c r="W58" s="26" t="str">
        <f t="shared" si="9"/>
        <v>🔴 วิกฤต! (ของหมด)</v>
      </c>
      <c r="X58" s="26">
        <v>9</v>
      </c>
      <c r="Y58" s="25" t="s">
        <v>54</v>
      </c>
      <c r="Z58" s="28">
        <v>0</v>
      </c>
      <c r="AA58" s="26"/>
      <c r="AB58" s="26"/>
    </row>
    <row r="59" spans="1:28" ht="15" customHeight="1" x14ac:dyDescent="0.3">
      <c r="A59" s="26">
        <v>58</v>
      </c>
      <c r="B59" s="25" t="s">
        <v>205</v>
      </c>
      <c r="C59" s="25" t="s">
        <v>206</v>
      </c>
      <c r="D59" s="26" t="s">
        <v>207</v>
      </c>
      <c r="E59" s="26"/>
      <c r="F59" s="26"/>
      <c r="G59" s="25" t="s">
        <v>212</v>
      </c>
      <c r="H59" s="26" t="s">
        <v>254</v>
      </c>
      <c r="I59" s="25" t="s">
        <v>255</v>
      </c>
      <c r="J59" s="26" t="s">
        <v>49</v>
      </c>
      <c r="K59" s="26" t="s">
        <v>256</v>
      </c>
      <c r="L59" s="26"/>
      <c r="M59" s="26" t="s">
        <v>52</v>
      </c>
      <c r="N59" s="27">
        <v>0</v>
      </c>
      <c r="O59" s="27" t="s">
        <v>257</v>
      </c>
      <c r="P59" s="28">
        <v>5</v>
      </c>
      <c r="Q59" s="28">
        <v>2</v>
      </c>
      <c r="R59" s="28">
        <f t="shared" si="5"/>
        <v>1</v>
      </c>
      <c r="S59" s="28">
        <f t="shared" si="6"/>
        <v>3</v>
      </c>
      <c r="T59" s="28">
        <f>SUMIF('Stock In Log'!C:C, H59, 'Stock In Log'!D:D) - SUMIF('Stock Out Log'!C:C, H59, 'Stock Out Log'!D:D)</f>
        <v>5</v>
      </c>
      <c r="U59" s="27">
        <f t="shared" si="7"/>
        <v>0</v>
      </c>
      <c r="V59" s="29" t="str">
        <f t="shared" si="8"/>
        <v>ปกติ</v>
      </c>
      <c r="W59" s="26" t="str">
        <f t="shared" si="9"/>
        <v>🟢 ปกติ</v>
      </c>
      <c r="X59" s="26">
        <v>6</v>
      </c>
      <c r="Y59" s="25" t="s">
        <v>54</v>
      </c>
      <c r="Z59" s="28">
        <v>14</v>
      </c>
      <c r="AA59" s="26" t="s">
        <v>131</v>
      </c>
      <c r="AB59" s="26"/>
    </row>
    <row r="60" spans="1:28" ht="15" customHeight="1" x14ac:dyDescent="0.3">
      <c r="A60" s="26">
        <v>59</v>
      </c>
      <c r="B60" s="25" t="s">
        <v>205</v>
      </c>
      <c r="C60" s="25" t="s">
        <v>206</v>
      </c>
      <c r="D60" s="26" t="s">
        <v>207</v>
      </c>
      <c r="E60" s="26"/>
      <c r="F60" s="26"/>
      <c r="G60" s="25" t="s">
        <v>208</v>
      </c>
      <c r="H60" s="26" t="s">
        <v>258</v>
      </c>
      <c r="I60" s="25" t="s">
        <v>255</v>
      </c>
      <c r="J60" s="26" t="s">
        <v>49</v>
      </c>
      <c r="K60" s="26" t="s">
        <v>256</v>
      </c>
      <c r="L60" s="26"/>
      <c r="M60" s="26" t="s">
        <v>52</v>
      </c>
      <c r="N60" s="27">
        <v>0</v>
      </c>
      <c r="O60" s="27" t="s">
        <v>259</v>
      </c>
      <c r="P60" s="28">
        <v>6</v>
      </c>
      <c r="Q60" s="28">
        <v>3</v>
      </c>
      <c r="R60" s="28">
        <f t="shared" si="5"/>
        <v>2</v>
      </c>
      <c r="S60" s="28">
        <f t="shared" si="6"/>
        <v>5</v>
      </c>
      <c r="T60" s="28">
        <f>SUMIF('Stock In Log'!C:C, H60, 'Stock In Log'!D:D) - SUMIF('Stock Out Log'!C:C, H60, 'Stock Out Log'!D:D)</f>
        <v>3</v>
      </c>
      <c r="U60" s="27">
        <f t="shared" si="7"/>
        <v>0</v>
      </c>
      <c r="V60" s="29" t="str">
        <f t="shared" si="8"/>
        <v>ควรสั่งซื้อ</v>
      </c>
      <c r="W60" s="26" t="str">
        <f t="shared" si="9"/>
        <v>🟡 ควรสั่งซื้อ (ต่ำกว่า ROP)</v>
      </c>
      <c r="X60" s="26">
        <v>6</v>
      </c>
      <c r="Y60" s="25" t="s">
        <v>54</v>
      </c>
      <c r="Z60" s="28">
        <v>14</v>
      </c>
      <c r="AA60" s="26" t="s">
        <v>131</v>
      </c>
      <c r="AB60" s="26"/>
    </row>
    <row r="61" spans="1:28" ht="15" customHeight="1" x14ac:dyDescent="0.3">
      <c r="A61" s="26">
        <v>60</v>
      </c>
      <c r="B61" s="25" t="s">
        <v>205</v>
      </c>
      <c r="C61" s="25" t="s">
        <v>206</v>
      </c>
      <c r="D61" s="26" t="s">
        <v>207</v>
      </c>
      <c r="E61" s="26"/>
      <c r="F61" s="26"/>
      <c r="G61" s="25" t="s">
        <v>215</v>
      </c>
      <c r="H61" s="26" t="s">
        <v>260</v>
      </c>
      <c r="I61" s="25" t="s">
        <v>261</v>
      </c>
      <c r="J61" s="26" t="s">
        <v>49</v>
      </c>
      <c r="K61" s="26" t="s">
        <v>119</v>
      </c>
      <c r="L61" s="26"/>
      <c r="M61" s="26" t="s">
        <v>52</v>
      </c>
      <c r="N61" s="27">
        <v>0</v>
      </c>
      <c r="O61" s="27" t="s">
        <v>262</v>
      </c>
      <c r="P61" s="28">
        <v>6</v>
      </c>
      <c r="Q61" s="28">
        <v>4</v>
      </c>
      <c r="R61" s="28">
        <f t="shared" si="5"/>
        <v>2</v>
      </c>
      <c r="S61" s="28">
        <f t="shared" si="6"/>
        <v>6</v>
      </c>
      <c r="T61" s="28">
        <f>SUMIF('Stock In Log'!C:C, H61, 'Stock In Log'!D:D) - SUMIF('Stock Out Log'!C:C, H61, 'Stock Out Log'!D:D)</f>
        <v>4</v>
      </c>
      <c r="U61" s="27">
        <f t="shared" si="7"/>
        <v>0</v>
      </c>
      <c r="V61" s="29" t="str">
        <f t="shared" si="8"/>
        <v>ควรสั่งซื้อ</v>
      </c>
      <c r="W61" s="26" t="str">
        <f t="shared" si="9"/>
        <v>🟡 ควรสั่งซื้อ (ต่ำกว่า ROP)</v>
      </c>
      <c r="X61" s="26">
        <v>6</v>
      </c>
      <c r="Y61" s="25" t="s">
        <v>54</v>
      </c>
      <c r="Z61" s="28">
        <v>0</v>
      </c>
      <c r="AA61" s="26"/>
      <c r="AB61" s="26"/>
    </row>
    <row r="62" spans="1:28" ht="15" customHeight="1" x14ac:dyDescent="0.3">
      <c r="A62" s="26">
        <v>61</v>
      </c>
      <c r="B62" s="25" t="s">
        <v>205</v>
      </c>
      <c r="C62" s="25" t="s">
        <v>206</v>
      </c>
      <c r="D62" s="26" t="s">
        <v>207</v>
      </c>
      <c r="E62" s="26"/>
      <c r="F62" s="26"/>
      <c r="G62" s="25" t="s">
        <v>215</v>
      </c>
      <c r="H62" s="26" t="s">
        <v>263</v>
      </c>
      <c r="I62" s="25" t="s">
        <v>264</v>
      </c>
      <c r="J62" s="26" t="s">
        <v>146</v>
      </c>
      <c r="K62" s="26" t="s">
        <v>119</v>
      </c>
      <c r="L62" s="26"/>
      <c r="M62" s="26" t="s">
        <v>52</v>
      </c>
      <c r="N62" s="27">
        <v>0</v>
      </c>
      <c r="O62" s="27" t="s">
        <v>265</v>
      </c>
      <c r="P62" s="28">
        <v>3</v>
      </c>
      <c r="Q62" s="28">
        <v>2</v>
      </c>
      <c r="R62" s="28">
        <f t="shared" si="5"/>
        <v>1</v>
      </c>
      <c r="S62" s="28">
        <f t="shared" si="6"/>
        <v>3</v>
      </c>
      <c r="T62" s="28">
        <f>SUMIF('Stock In Log'!C:C, H62, 'Stock In Log'!D:D) - SUMIF('Stock Out Log'!C:C, H62, 'Stock Out Log'!D:D)</f>
        <v>0</v>
      </c>
      <c r="U62" s="27">
        <f t="shared" si="7"/>
        <v>0</v>
      </c>
      <c r="V62" s="29" t="str">
        <f t="shared" si="8"/>
        <v>ควรสั่งซื้อ</v>
      </c>
      <c r="W62" s="26" t="str">
        <f t="shared" si="9"/>
        <v>🔴 วิกฤต! (ของหมด)</v>
      </c>
      <c r="X62" s="26">
        <v>9</v>
      </c>
      <c r="Y62" s="25" t="s">
        <v>54</v>
      </c>
      <c r="Z62" s="28">
        <v>0</v>
      </c>
      <c r="AA62" s="26"/>
      <c r="AB62" s="26"/>
    </row>
    <row r="63" spans="1:28" ht="15" customHeight="1" x14ac:dyDescent="0.3">
      <c r="A63" s="26">
        <v>62</v>
      </c>
      <c r="B63" s="25" t="s">
        <v>205</v>
      </c>
      <c r="C63" s="25" t="s">
        <v>206</v>
      </c>
      <c r="D63" s="26" t="s">
        <v>207</v>
      </c>
      <c r="E63" s="26"/>
      <c r="F63" s="26"/>
      <c r="G63" s="25" t="s">
        <v>215</v>
      </c>
      <c r="H63" s="26" t="s">
        <v>266</v>
      </c>
      <c r="I63" s="25" t="s">
        <v>267</v>
      </c>
      <c r="J63" s="26" t="s">
        <v>146</v>
      </c>
      <c r="K63" s="26" t="s">
        <v>268</v>
      </c>
      <c r="L63" s="26"/>
      <c r="M63" s="26" t="s">
        <v>52</v>
      </c>
      <c r="N63" s="27">
        <v>0</v>
      </c>
      <c r="O63" s="27" t="s">
        <v>269</v>
      </c>
      <c r="P63" s="28">
        <v>3</v>
      </c>
      <c r="Q63" s="28">
        <v>2</v>
      </c>
      <c r="R63" s="28">
        <f t="shared" si="5"/>
        <v>1</v>
      </c>
      <c r="S63" s="28">
        <f t="shared" si="6"/>
        <v>3</v>
      </c>
      <c r="T63" s="28">
        <f>SUMIF('Stock In Log'!C:C, H63, 'Stock In Log'!D:D) - SUMIF('Stock Out Log'!C:C, H63, 'Stock Out Log'!D:D)</f>
        <v>0</v>
      </c>
      <c r="U63" s="27">
        <f t="shared" si="7"/>
        <v>0</v>
      </c>
      <c r="V63" s="29" t="str">
        <f t="shared" si="8"/>
        <v>ควรสั่งซื้อ</v>
      </c>
      <c r="W63" s="26" t="str">
        <f t="shared" si="9"/>
        <v>🔴 วิกฤต! (ของหมด)</v>
      </c>
      <c r="X63" s="26">
        <v>9</v>
      </c>
      <c r="Y63" s="25" t="s">
        <v>54</v>
      </c>
      <c r="Z63" s="28">
        <v>0</v>
      </c>
      <c r="AA63" s="26"/>
      <c r="AB63" s="26" t="s">
        <v>270</v>
      </c>
    </row>
    <row r="64" spans="1:28" ht="15" customHeight="1" x14ac:dyDescent="0.3">
      <c r="A64" s="26">
        <v>63</v>
      </c>
      <c r="B64" s="25" t="s">
        <v>205</v>
      </c>
      <c r="C64" s="25" t="s">
        <v>206</v>
      </c>
      <c r="D64" s="26" t="s">
        <v>207</v>
      </c>
      <c r="E64" s="26"/>
      <c r="F64" s="26"/>
      <c r="G64" s="25" t="s">
        <v>215</v>
      </c>
      <c r="H64" s="26" t="s">
        <v>271</v>
      </c>
      <c r="I64" s="25" t="s">
        <v>272</v>
      </c>
      <c r="J64" s="26" t="s">
        <v>146</v>
      </c>
      <c r="K64" s="26" t="s">
        <v>268</v>
      </c>
      <c r="L64" s="26"/>
      <c r="M64" s="26" t="s">
        <v>52</v>
      </c>
      <c r="N64" s="27">
        <v>0</v>
      </c>
      <c r="O64" s="27" t="s">
        <v>273</v>
      </c>
      <c r="P64" s="28">
        <v>3</v>
      </c>
      <c r="Q64" s="28">
        <v>2</v>
      </c>
      <c r="R64" s="28">
        <f t="shared" si="5"/>
        <v>1</v>
      </c>
      <c r="S64" s="28">
        <f t="shared" si="6"/>
        <v>3</v>
      </c>
      <c r="T64" s="28">
        <f>SUMIF('Stock In Log'!C:C, H64, 'Stock In Log'!D:D) - SUMIF('Stock Out Log'!C:C, H64, 'Stock Out Log'!D:D)</f>
        <v>0</v>
      </c>
      <c r="U64" s="27">
        <f t="shared" si="7"/>
        <v>0</v>
      </c>
      <c r="V64" s="29" t="str">
        <f t="shared" si="8"/>
        <v>ควรสั่งซื้อ</v>
      </c>
      <c r="W64" s="26" t="str">
        <f t="shared" si="9"/>
        <v>🔴 วิกฤต! (ของหมด)</v>
      </c>
      <c r="X64" s="26">
        <v>9</v>
      </c>
      <c r="Y64" s="25" t="s">
        <v>54</v>
      </c>
      <c r="Z64" s="28">
        <v>0</v>
      </c>
      <c r="AA64" s="26"/>
      <c r="AB64" s="26"/>
    </row>
    <row r="65" spans="1:28" ht="15" customHeight="1" x14ac:dyDescent="0.3">
      <c r="A65" s="26">
        <v>64</v>
      </c>
      <c r="B65" s="25" t="s">
        <v>205</v>
      </c>
      <c r="C65" s="25" t="s">
        <v>206</v>
      </c>
      <c r="D65" s="26" t="s">
        <v>207</v>
      </c>
      <c r="E65" s="26"/>
      <c r="F65" s="26"/>
      <c r="G65" s="25" t="s">
        <v>215</v>
      </c>
      <c r="H65" s="26" t="s">
        <v>274</v>
      </c>
      <c r="I65" s="25" t="s">
        <v>275</v>
      </c>
      <c r="J65" s="26" t="s">
        <v>146</v>
      </c>
      <c r="K65" s="26" t="s">
        <v>268</v>
      </c>
      <c r="L65" s="26"/>
      <c r="M65" s="26" t="s">
        <v>52</v>
      </c>
      <c r="N65" s="27">
        <v>0</v>
      </c>
      <c r="O65" s="27" t="s">
        <v>276</v>
      </c>
      <c r="P65" s="28">
        <v>3</v>
      </c>
      <c r="Q65" s="28">
        <v>2</v>
      </c>
      <c r="R65" s="28">
        <f t="shared" si="5"/>
        <v>1</v>
      </c>
      <c r="S65" s="28">
        <f t="shared" si="6"/>
        <v>3</v>
      </c>
      <c r="T65" s="28">
        <f>SUMIF('Stock In Log'!C:C, H65, 'Stock In Log'!D:D) - SUMIF('Stock Out Log'!C:C, H65, 'Stock Out Log'!D:D)</f>
        <v>0</v>
      </c>
      <c r="U65" s="27">
        <f t="shared" si="7"/>
        <v>0</v>
      </c>
      <c r="V65" s="29" t="str">
        <f t="shared" si="8"/>
        <v>ควรสั่งซื้อ</v>
      </c>
      <c r="W65" s="26" t="str">
        <f t="shared" si="9"/>
        <v>🔴 วิกฤต! (ของหมด)</v>
      </c>
      <c r="X65" s="26">
        <v>9</v>
      </c>
      <c r="Y65" s="25" t="s">
        <v>54</v>
      </c>
      <c r="Z65" s="28">
        <v>0</v>
      </c>
      <c r="AA65" s="26"/>
      <c r="AB65" s="26" t="s">
        <v>277</v>
      </c>
    </row>
    <row r="66" spans="1:28" ht="15" customHeight="1" x14ac:dyDescent="0.3">
      <c r="A66" s="26">
        <v>65</v>
      </c>
      <c r="B66" s="25" t="s">
        <v>205</v>
      </c>
      <c r="C66" s="25" t="s">
        <v>206</v>
      </c>
      <c r="D66" s="26" t="s">
        <v>207</v>
      </c>
      <c r="E66" s="26"/>
      <c r="F66" s="26"/>
      <c r="G66" s="25" t="s">
        <v>278</v>
      </c>
      <c r="H66" s="26" t="s">
        <v>279</v>
      </c>
      <c r="I66" s="25" t="s">
        <v>280</v>
      </c>
      <c r="J66" s="26" t="s">
        <v>146</v>
      </c>
      <c r="K66" s="26" t="s">
        <v>281</v>
      </c>
      <c r="L66" s="26"/>
      <c r="M66" s="26" t="s">
        <v>52</v>
      </c>
      <c r="N66" s="27">
        <v>9000</v>
      </c>
      <c r="O66" s="27" t="s">
        <v>282</v>
      </c>
      <c r="P66" s="28">
        <v>3</v>
      </c>
      <c r="Q66" s="28">
        <v>2</v>
      </c>
      <c r="R66" s="28">
        <f t="shared" ref="R66:R97" si="10">ROUND(Q66*0.5,0)</f>
        <v>1</v>
      </c>
      <c r="S66" s="28">
        <f t="shared" ref="S66:S97" si="11">Q66+R66</f>
        <v>3</v>
      </c>
      <c r="T66" s="28">
        <f>SUMIF('Stock In Log'!C:C, H66, 'Stock In Log'!D:D) - SUMIF('Stock Out Log'!C:C, H66, 'Stock Out Log'!D:D)</f>
        <v>1</v>
      </c>
      <c r="U66" s="27">
        <f t="shared" ref="U66:U97" si="12">N66*T66</f>
        <v>9000</v>
      </c>
      <c r="V66" s="29" t="str">
        <f t="shared" ref="V66:V89" si="13">IF(T66&lt;=0,"ควรสั่งซื้อ",
IF(T66&lt;=S66,"ควรสั่งซื้อ","ปกติ"))</f>
        <v>ควรสั่งซื้อ</v>
      </c>
      <c r="W66" s="26" t="str">
        <f t="shared" ref="W66:W89" si="14">IF(T66&lt;=0, "🔴 วิกฤต! (ของหมด)", IF(T66&lt;=S66, "🟡 ควรสั่งซื้อ (ต่ำกว่า ROP)", "🟢 ปกติ"))</f>
        <v>🟡 ควรสั่งซื้อ (ต่ำกว่า ROP)</v>
      </c>
      <c r="X66" s="26">
        <v>9</v>
      </c>
      <c r="Y66" s="25" t="s">
        <v>54</v>
      </c>
      <c r="Z66" s="28">
        <v>5</v>
      </c>
      <c r="AA66" s="26"/>
      <c r="AB66" s="26"/>
    </row>
    <row r="67" spans="1:28" ht="15" customHeight="1" x14ac:dyDescent="0.3">
      <c r="A67" s="26">
        <v>66</v>
      </c>
      <c r="B67" s="25" t="s">
        <v>205</v>
      </c>
      <c r="C67" s="25" t="s">
        <v>206</v>
      </c>
      <c r="D67" s="26" t="s">
        <v>207</v>
      </c>
      <c r="E67" s="26"/>
      <c r="F67" s="26"/>
      <c r="G67" s="25" t="s">
        <v>215</v>
      </c>
      <c r="H67" s="26" t="s">
        <v>283</v>
      </c>
      <c r="I67" s="25" t="s">
        <v>284</v>
      </c>
      <c r="J67" s="26" t="s">
        <v>146</v>
      </c>
      <c r="K67" s="26"/>
      <c r="L67" s="26"/>
      <c r="M67" s="26" t="s">
        <v>52</v>
      </c>
      <c r="N67" s="27">
        <v>0</v>
      </c>
      <c r="O67" s="27" t="s">
        <v>285</v>
      </c>
      <c r="P67" s="28">
        <v>2</v>
      </c>
      <c r="Q67" s="28">
        <v>1</v>
      </c>
      <c r="R67" s="28">
        <f t="shared" si="10"/>
        <v>1</v>
      </c>
      <c r="S67" s="28">
        <f t="shared" si="11"/>
        <v>2</v>
      </c>
      <c r="T67" s="28">
        <f>SUMIF('Stock In Log'!C:C, H67, 'Stock In Log'!D:D) - SUMIF('Stock Out Log'!C:C, H67, 'Stock Out Log'!D:D)</f>
        <v>0</v>
      </c>
      <c r="U67" s="27">
        <f t="shared" si="12"/>
        <v>0</v>
      </c>
      <c r="V67" s="29" t="str">
        <f t="shared" si="13"/>
        <v>ควรสั่งซื้อ</v>
      </c>
      <c r="W67" s="26" t="str">
        <f t="shared" si="14"/>
        <v>🔴 วิกฤต! (ของหมด)</v>
      </c>
      <c r="X67" s="26">
        <v>9</v>
      </c>
      <c r="Y67" s="25" t="s">
        <v>54</v>
      </c>
      <c r="Z67" s="28">
        <v>0</v>
      </c>
      <c r="AA67" s="26"/>
      <c r="AB67" s="26"/>
    </row>
    <row r="68" spans="1:28" ht="15" customHeight="1" x14ac:dyDescent="0.3">
      <c r="A68" s="26">
        <v>67</v>
      </c>
      <c r="B68" s="25" t="s">
        <v>205</v>
      </c>
      <c r="C68" s="25" t="s">
        <v>206</v>
      </c>
      <c r="D68" s="26" t="s">
        <v>207</v>
      </c>
      <c r="E68" s="26"/>
      <c r="F68" s="26"/>
      <c r="G68" s="25" t="s">
        <v>215</v>
      </c>
      <c r="H68" s="26" t="s">
        <v>286</v>
      </c>
      <c r="I68" s="25" t="s">
        <v>287</v>
      </c>
      <c r="J68" s="26" t="s">
        <v>49</v>
      </c>
      <c r="K68" s="26" t="s">
        <v>288</v>
      </c>
      <c r="L68" s="26"/>
      <c r="M68" s="26" t="s">
        <v>52</v>
      </c>
      <c r="N68" s="27">
        <v>0</v>
      </c>
      <c r="O68" s="27" t="s">
        <v>289</v>
      </c>
      <c r="P68" s="28">
        <v>7</v>
      </c>
      <c r="Q68" s="28">
        <v>5</v>
      </c>
      <c r="R68" s="28">
        <f t="shared" si="10"/>
        <v>3</v>
      </c>
      <c r="S68" s="28">
        <f t="shared" si="11"/>
        <v>8</v>
      </c>
      <c r="T68" s="28">
        <f>SUMIF('Stock In Log'!C:C, H68, 'Stock In Log'!D:D) - SUMIF('Stock Out Log'!C:C, H68, 'Stock Out Log'!D:D)</f>
        <v>0</v>
      </c>
      <c r="U68" s="27">
        <f t="shared" si="12"/>
        <v>0</v>
      </c>
      <c r="V68" s="29" t="str">
        <f t="shared" si="13"/>
        <v>ควรสั่งซื้อ</v>
      </c>
      <c r="W68" s="26" t="str">
        <f t="shared" si="14"/>
        <v>🔴 วิกฤต! (ของหมด)</v>
      </c>
      <c r="X68" s="26">
        <v>6</v>
      </c>
      <c r="Y68" s="25" t="s">
        <v>54</v>
      </c>
      <c r="Z68" s="28">
        <v>0</v>
      </c>
      <c r="AA68" s="26"/>
      <c r="AB68" s="26"/>
    </row>
    <row r="69" spans="1:28" ht="15" customHeight="1" x14ac:dyDescent="0.3">
      <c r="A69" s="26">
        <v>68</v>
      </c>
      <c r="B69" s="25" t="s">
        <v>205</v>
      </c>
      <c r="C69" s="25" t="s">
        <v>206</v>
      </c>
      <c r="D69" s="26" t="s">
        <v>207</v>
      </c>
      <c r="E69" s="26"/>
      <c r="F69" s="26"/>
      <c r="G69" s="25" t="s">
        <v>290</v>
      </c>
      <c r="H69" s="26" t="s">
        <v>291</v>
      </c>
      <c r="I69" s="25" t="s">
        <v>227</v>
      </c>
      <c r="J69" s="26" t="s">
        <v>146</v>
      </c>
      <c r="K69" s="26" t="s">
        <v>292</v>
      </c>
      <c r="L69" s="26"/>
      <c r="M69" s="26" t="s">
        <v>52</v>
      </c>
      <c r="N69" s="27">
        <v>0</v>
      </c>
      <c r="O69" s="27" t="s">
        <v>293</v>
      </c>
      <c r="P69" s="28">
        <v>2</v>
      </c>
      <c r="Q69" s="28">
        <v>1</v>
      </c>
      <c r="R69" s="28">
        <f t="shared" si="10"/>
        <v>1</v>
      </c>
      <c r="S69" s="28">
        <f t="shared" si="11"/>
        <v>2</v>
      </c>
      <c r="T69" s="28">
        <f>SUMIF('Stock In Log'!C:C, H69, 'Stock In Log'!D:D) - SUMIF('Stock Out Log'!C:C, H69, 'Stock Out Log'!D:D)</f>
        <v>0</v>
      </c>
      <c r="U69" s="27">
        <f t="shared" si="12"/>
        <v>0</v>
      </c>
      <c r="V69" s="29" t="str">
        <f t="shared" si="13"/>
        <v>ควรสั่งซื้อ</v>
      </c>
      <c r="W69" s="26" t="str">
        <f t="shared" si="14"/>
        <v>🔴 วิกฤต! (ของหมด)</v>
      </c>
      <c r="X69" s="26">
        <v>9</v>
      </c>
      <c r="Y69" s="25" t="s">
        <v>54</v>
      </c>
      <c r="Z69" s="28">
        <v>0</v>
      </c>
      <c r="AA69" s="26"/>
      <c r="AB69" s="26"/>
    </row>
    <row r="70" spans="1:28" ht="15" customHeight="1" x14ac:dyDescent="0.3">
      <c r="A70" s="26">
        <v>69</v>
      </c>
      <c r="B70" s="25" t="s">
        <v>205</v>
      </c>
      <c r="C70" s="25" t="s">
        <v>206</v>
      </c>
      <c r="D70" s="26" t="s">
        <v>207</v>
      </c>
      <c r="E70" s="26"/>
      <c r="F70" s="26"/>
      <c r="G70" s="25" t="s">
        <v>290</v>
      </c>
      <c r="H70" s="26" t="s">
        <v>294</v>
      </c>
      <c r="I70" s="25" t="s">
        <v>295</v>
      </c>
      <c r="J70" s="26" t="s">
        <v>146</v>
      </c>
      <c r="K70" s="26" t="s">
        <v>218</v>
      </c>
      <c r="L70" s="26"/>
      <c r="M70" s="26" t="s">
        <v>52</v>
      </c>
      <c r="N70" s="27">
        <v>0</v>
      </c>
      <c r="O70" s="27" t="s">
        <v>296</v>
      </c>
      <c r="P70" s="28">
        <v>2</v>
      </c>
      <c r="Q70" s="28">
        <v>1</v>
      </c>
      <c r="R70" s="28">
        <f t="shared" si="10"/>
        <v>1</v>
      </c>
      <c r="S70" s="28">
        <f t="shared" si="11"/>
        <v>2</v>
      </c>
      <c r="T70" s="28">
        <f>SUMIF('Stock In Log'!C:C, H70, 'Stock In Log'!D:D) - SUMIF('Stock Out Log'!C:C, H70, 'Stock Out Log'!D:D)</f>
        <v>0</v>
      </c>
      <c r="U70" s="27">
        <f t="shared" si="12"/>
        <v>0</v>
      </c>
      <c r="V70" s="29" t="str">
        <f t="shared" si="13"/>
        <v>ควรสั่งซื้อ</v>
      </c>
      <c r="W70" s="26" t="str">
        <f t="shared" si="14"/>
        <v>🔴 วิกฤต! (ของหมด)</v>
      </c>
      <c r="X70" s="26">
        <v>9</v>
      </c>
      <c r="Y70" s="25" t="s">
        <v>54</v>
      </c>
      <c r="Z70" s="28">
        <v>0</v>
      </c>
      <c r="AA70" s="26"/>
      <c r="AB70" s="26"/>
    </row>
    <row r="71" spans="1:28" ht="15" customHeight="1" x14ac:dyDescent="0.3">
      <c r="A71" s="26">
        <v>70</v>
      </c>
      <c r="B71" s="25" t="s">
        <v>205</v>
      </c>
      <c r="C71" s="25" t="s">
        <v>206</v>
      </c>
      <c r="D71" s="26" t="s">
        <v>207</v>
      </c>
      <c r="E71" s="26"/>
      <c r="F71" s="26"/>
      <c r="G71" s="25" t="s">
        <v>290</v>
      </c>
      <c r="H71" s="26" t="s">
        <v>297</v>
      </c>
      <c r="I71" s="25" t="s">
        <v>222</v>
      </c>
      <c r="J71" s="26" t="s">
        <v>146</v>
      </c>
      <c r="K71" s="26" t="s">
        <v>223</v>
      </c>
      <c r="L71" s="26"/>
      <c r="M71" s="26" t="s">
        <v>52</v>
      </c>
      <c r="N71" s="27">
        <v>0</v>
      </c>
      <c r="O71" s="27" t="s">
        <v>298</v>
      </c>
      <c r="P71" s="28">
        <v>0</v>
      </c>
      <c r="Q71" s="28">
        <v>0</v>
      </c>
      <c r="R71" s="28">
        <f t="shared" si="10"/>
        <v>0</v>
      </c>
      <c r="S71" s="28">
        <f t="shared" si="11"/>
        <v>0</v>
      </c>
      <c r="T71" s="28">
        <f>SUMIF('Stock In Log'!C:C, H71, 'Stock In Log'!D:D) - SUMIF('Stock Out Log'!C:C, H71, 'Stock Out Log'!D:D)</f>
        <v>0</v>
      </c>
      <c r="U71" s="27">
        <f t="shared" si="12"/>
        <v>0</v>
      </c>
      <c r="V71" s="29" t="str">
        <f t="shared" si="13"/>
        <v>ควรสั่งซื้อ</v>
      </c>
      <c r="W71" s="26" t="str">
        <f t="shared" si="14"/>
        <v>🔴 วิกฤต! (ของหมด)</v>
      </c>
      <c r="X71" s="26">
        <v>9</v>
      </c>
      <c r="Y71" s="25" t="s">
        <v>54</v>
      </c>
      <c r="Z71" s="28">
        <v>0</v>
      </c>
      <c r="AA71" s="26"/>
      <c r="AB71" s="26"/>
    </row>
    <row r="72" spans="1:28" ht="15" customHeight="1" x14ac:dyDescent="0.3">
      <c r="A72" s="26">
        <v>71</v>
      </c>
      <c r="B72" s="25" t="s">
        <v>205</v>
      </c>
      <c r="C72" s="25" t="s">
        <v>206</v>
      </c>
      <c r="D72" s="26" t="s">
        <v>207</v>
      </c>
      <c r="E72" s="26"/>
      <c r="F72" s="26"/>
      <c r="G72" s="25" t="s">
        <v>299</v>
      </c>
      <c r="H72" s="26" t="s">
        <v>300</v>
      </c>
      <c r="I72" s="25" t="s">
        <v>301</v>
      </c>
      <c r="J72" s="26" t="s">
        <v>146</v>
      </c>
      <c r="K72" s="26" t="s">
        <v>292</v>
      </c>
      <c r="L72" s="26"/>
      <c r="M72" s="26" t="s">
        <v>52</v>
      </c>
      <c r="N72" s="27">
        <v>0</v>
      </c>
      <c r="O72" s="27" t="s">
        <v>302</v>
      </c>
      <c r="P72" s="28">
        <v>1</v>
      </c>
      <c r="Q72" s="28">
        <v>1</v>
      </c>
      <c r="R72" s="28">
        <f t="shared" si="10"/>
        <v>1</v>
      </c>
      <c r="S72" s="28">
        <f t="shared" si="11"/>
        <v>2</v>
      </c>
      <c r="T72" s="28">
        <f>SUMIF('Stock In Log'!C:C, H72, 'Stock In Log'!D:D) - SUMIF('Stock Out Log'!C:C, H72, 'Stock Out Log'!D:D)</f>
        <v>0</v>
      </c>
      <c r="U72" s="27">
        <f t="shared" si="12"/>
        <v>0</v>
      </c>
      <c r="V72" s="29" t="str">
        <f t="shared" si="13"/>
        <v>ควรสั่งซื้อ</v>
      </c>
      <c r="W72" s="26" t="str">
        <f t="shared" si="14"/>
        <v>🔴 วิกฤต! (ของหมด)</v>
      </c>
      <c r="X72" s="26">
        <v>9</v>
      </c>
      <c r="Y72" s="25" t="s">
        <v>54</v>
      </c>
      <c r="Z72" s="28">
        <v>0</v>
      </c>
      <c r="AA72" s="26"/>
      <c r="AB72" s="26"/>
    </row>
    <row r="73" spans="1:28" ht="15" customHeight="1" x14ac:dyDescent="0.3">
      <c r="A73" s="26">
        <v>72</v>
      </c>
      <c r="B73" s="25" t="s">
        <v>205</v>
      </c>
      <c r="C73" s="25" t="s">
        <v>206</v>
      </c>
      <c r="D73" s="26" t="s">
        <v>207</v>
      </c>
      <c r="E73" s="26"/>
      <c r="F73" s="26"/>
      <c r="G73" s="25" t="s">
        <v>299</v>
      </c>
      <c r="H73" s="26" t="s">
        <v>303</v>
      </c>
      <c r="I73" s="25" t="s">
        <v>304</v>
      </c>
      <c r="J73" s="26" t="s">
        <v>146</v>
      </c>
      <c r="K73" s="26" t="s">
        <v>292</v>
      </c>
      <c r="L73" s="26"/>
      <c r="M73" s="26" t="s">
        <v>52</v>
      </c>
      <c r="N73" s="27">
        <v>0</v>
      </c>
      <c r="O73" s="27" t="s">
        <v>305</v>
      </c>
      <c r="P73" s="28">
        <v>1</v>
      </c>
      <c r="Q73" s="28">
        <v>1</v>
      </c>
      <c r="R73" s="28">
        <f t="shared" si="10"/>
        <v>1</v>
      </c>
      <c r="S73" s="28">
        <f t="shared" si="11"/>
        <v>2</v>
      </c>
      <c r="T73" s="28">
        <f>SUMIF('Stock In Log'!C:C, H73, 'Stock In Log'!D:D) - SUMIF('Stock Out Log'!C:C, H73, 'Stock Out Log'!D:D)</f>
        <v>0</v>
      </c>
      <c r="U73" s="27">
        <f t="shared" si="12"/>
        <v>0</v>
      </c>
      <c r="V73" s="29" t="str">
        <f t="shared" si="13"/>
        <v>ควรสั่งซื้อ</v>
      </c>
      <c r="W73" s="26" t="str">
        <f t="shared" si="14"/>
        <v>🔴 วิกฤต! (ของหมด)</v>
      </c>
      <c r="X73" s="26">
        <v>9</v>
      </c>
      <c r="Y73" s="25" t="s">
        <v>54</v>
      </c>
      <c r="Z73" s="28">
        <v>0</v>
      </c>
      <c r="AA73" s="26"/>
      <c r="AB73" s="26"/>
    </row>
    <row r="74" spans="1:28" ht="15" customHeight="1" x14ac:dyDescent="0.3">
      <c r="A74" s="26">
        <v>73</v>
      </c>
      <c r="B74" s="25" t="s">
        <v>205</v>
      </c>
      <c r="C74" s="25" t="s">
        <v>206</v>
      </c>
      <c r="D74" s="26" t="s">
        <v>207</v>
      </c>
      <c r="E74" s="26"/>
      <c r="F74" s="26"/>
      <c r="G74" s="25" t="s">
        <v>306</v>
      </c>
      <c r="H74" s="26" t="s">
        <v>307</v>
      </c>
      <c r="I74" s="25" t="s">
        <v>235</v>
      </c>
      <c r="J74" s="26" t="s">
        <v>146</v>
      </c>
      <c r="K74" s="26" t="s">
        <v>308</v>
      </c>
      <c r="L74" s="26"/>
      <c r="M74" s="26" t="s">
        <v>52</v>
      </c>
      <c r="N74" s="27">
        <v>0</v>
      </c>
      <c r="O74" s="27" t="s">
        <v>309</v>
      </c>
      <c r="P74" s="28">
        <v>1</v>
      </c>
      <c r="Q74" s="28">
        <v>1</v>
      </c>
      <c r="R74" s="28">
        <f t="shared" si="10"/>
        <v>1</v>
      </c>
      <c r="S74" s="28">
        <f t="shared" si="11"/>
        <v>2</v>
      </c>
      <c r="T74" s="28">
        <f>SUMIF('Stock In Log'!C:C, H74, 'Stock In Log'!D:D) - SUMIF('Stock Out Log'!C:C, H74, 'Stock Out Log'!D:D)</f>
        <v>0</v>
      </c>
      <c r="U74" s="27">
        <f t="shared" si="12"/>
        <v>0</v>
      </c>
      <c r="V74" s="29" t="str">
        <f t="shared" si="13"/>
        <v>ควรสั่งซื้อ</v>
      </c>
      <c r="W74" s="26" t="str">
        <f t="shared" si="14"/>
        <v>🔴 วิกฤต! (ของหมด)</v>
      </c>
      <c r="X74" s="26">
        <v>9</v>
      </c>
      <c r="Y74" s="25" t="s">
        <v>54</v>
      </c>
      <c r="Z74" s="28">
        <v>0</v>
      </c>
      <c r="AA74" s="26"/>
      <c r="AB74" s="26"/>
    </row>
    <row r="75" spans="1:28" ht="16.8" customHeight="1" x14ac:dyDescent="0.4">
      <c r="A75" s="26">
        <v>74</v>
      </c>
      <c r="B75" s="25" t="s">
        <v>310</v>
      </c>
      <c r="C75" s="25" t="s">
        <v>311</v>
      </c>
      <c r="D75" s="26" t="s">
        <v>312</v>
      </c>
      <c r="G75" s="25" t="s">
        <v>313</v>
      </c>
      <c r="H75" s="26" t="s">
        <v>314</v>
      </c>
      <c r="I75" s="32" t="s">
        <v>295</v>
      </c>
      <c r="J75" s="26" t="s">
        <v>146</v>
      </c>
      <c r="M75" s="26" t="s">
        <v>52</v>
      </c>
      <c r="N75" s="27">
        <v>0</v>
      </c>
      <c r="O75" s="27" t="s">
        <v>315</v>
      </c>
      <c r="P75" s="28">
        <v>1</v>
      </c>
      <c r="Q75" s="28">
        <v>1</v>
      </c>
      <c r="R75" s="28">
        <f t="shared" si="10"/>
        <v>1</v>
      </c>
      <c r="S75" s="28">
        <f t="shared" si="11"/>
        <v>2</v>
      </c>
      <c r="T75" s="28">
        <f>SUMIF('Stock In Log'!C:C, H75, 'Stock In Log'!D:D) - SUMIF('Stock Out Log'!C:C, H75, 'Stock Out Log'!D:D)</f>
        <v>0</v>
      </c>
      <c r="U75" s="27">
        <f t="shared" si="12"/>
        <v>0</v>
      </c>
      <c r="V75" s="29" t="str">
        <f t="shared" si="13"/>
        <v>ควรสั่งซื้อ</v>
      </c>
      <c r="W75" s="26" t="str">
        <f t="shared" si="14"/>
        <v>🔴 วิกฤต! (ของหมด)</v>
      </c>
      <c r="X75" s="26">
        <v>9</v>
      </c>
      <c r="Y75" s="25" t="s">
        <v>54</v>
      </c>
      <c r="Z75" s="28">
        <v>0</v>
      </c>
      <c r="AA75" s="26"/>
      <c r="AB75" s="26"/>
    </row>
    <row r="76" spans="1:28" ht="15" customHeight="1" x14ac:dyDescent="0.3">
      <c r="A76" s="26">
        <v>75</v>
      </c>
      <c r="B76" s="25" t="s">
        <v>310</v>
      </c>
      <c r="C76" s="25" t="s">
        <v>311</v>
      </c>
      <c r="D76" s="26" t="s">
        <v>312</v>
      </c>
      <c r="G76" s="25" t="s">
        <v>316</v>
      </c>
      <c r="H76" s="26" t="s">
        <v>317</v>
      </c>
      <c r="I76" t="s">
        <v>295</v>
      </c>
      <c r="J76" s="26" t="s">
        <v>146</v>
      </c>
      <c r="M76" s="26" t="s">
        <v>52</v>
      </c>
      <c r="N76" s="27">
        <v>0</v>
      </c>
      <c r="O76" s="27" t="s">
        <v>318</v>
      </c>
      <c r="P76" s="28">
        <v>1</v>
      </c>
      <c r="Q76" s="28">
        <v>1</v>
      </c>
      <c r="R76" s="28">
        <f t="shared" si="10"/>
        <v>1</v>
      </c>
      <c r="S76" s="28">
        <f t="shared" si="11"/>
        <v>2</v>
      </c>
      <c r="T76" s="28">
        <f>SUMIF('Stock In Log'!C:C, H76, 'Stock In Log'!D:D) - SUMIF('Stock Out Log'!C:C, H76, 'Stock Out Log'!D:D)</f>
        <v>0</v>
      </c>
      <c r="U76" s="27">
        <f t="shared" si="12"/>
        <v>0</v>
      </c>
      <c r="V76" s="29" t="str">
        <f t="shared" si="13"/>
        <v>ควรสั่งซื้อ</v>
      </c>
      <c r="W76" s="26" t="str">
        <f t="shared" si="14"/>
        <v>🔴 วิกฤต! (ของหมด)</v>
      </c>
      <c r="X76" s="26">
        <v>9</v>
      </c>
      <c r="Y76" s="25" t="s">
        <v>54</v>
      </c>
      <c r="Z76" s="28">
        <v>0</v>
      </c>
      <c r="AA76" s="26"/>
      <c r="AB76" s="26"/>
    </row>
    <row r="77" spans="1:28" ht="16.8" customHeight="1" x14ac:dyDescent="0.4">
      <c r="A77" s="26">
        <v>76</v>
      </c>
      <c r="B77" s="25" t="s">
        <v>310</v>
      </c>
      <c r="C77" s="25" t="s">
        <v>319</v>
      </c>
      <c r="D77" s="26" t="s">
        <v>320</v>
      </c>
      <c r="G77" s="25" t="s">
        <v>313</v>
      </c>
      <c r="H77" s="26" t="s">
        <v>321</v>
      </c>
      <c r="I77" s="32" t="s">
        <v>295</v>
      </c>
      <c r="J77" s="26" t="s">
        <v>146</v>
      </c>
      <c r="M77" s="26" t="s">
        <v>52</v>
      </c>
      <c r="N77" s="27">
        <v>0</v>
      </c>
      <c r="O77" s="27" t="s">
        <v>322</v>
      </c>
      <c r="P77" s="28">
        <v>1</v>
      </c>
      <c r="Q77" s="28">
        <v>1</v>
      </c>
      <c r="R77" s="28">
        <f t="shared" si="10"/>
        <v>1</v>
      </c>
      <c r="S77" s="28">
        <f t="shared" si="11"/>
        <v>2</v>
      </c>
      <c r="T77" s="28">
        <f>SUMIF('Stock In Log'!C:C, H77, 'Stock In Log'!D:D) - SUMIF('Stock Out Log'!C:C, H77, 'Stock Out Log'!D:D)</f>
        <v>0</v>
      </c>
      <c r="U77" s="27">
        <f t="shared" si="12"/>
        <v>0</v>
      </c>
      <c r="V77" s="29" t="str">
        <f t="shared" si="13"/>
        <v>ควรสั่งซื้อ</v>
      </c>
      <c r="W77" s="26" t="str">
        <f t="shared" si="14"/>
        <v>🔴 วิกฤต! (ของหมด)</v>
      </c>
      <c r="X77" s="26">
        <v>9</v>
      </c>
      <c r="Y77" s="25" t="s">
        <v>54</v>
      </c>
      <c r="Z77" s="28">
        <v>0</v>
      </c>
      <c r="AA77" s="26"/>
      <c r="AB77" s="26"/>
    </row>
    <row r="78" spans="1:28" ht="15" customHeight="1" x14ac:dyDescent="0.3">
      <c r="A78" s="26">
        <v>77</v>
      </c>
      <c r="B78" s="25" t="s">
        <v>310</v>
      </c>
      <c r="C78" s="25" t="s">
        <v>319</v>
      </c>
      <c r="D78" s="26" t="s">
        <v>320</v>
      </c>
      <c r="G78" s="25" t="s">
        <v>316</v>
      </c>
      <c r="H78" s="26" t="s">
        <v>323</v>
      </c>
      <c r="I78" t="s">
        <v>295</v>
      </c>
      <c r="J78" s="26" t="s">
        <v>146</v>
      </c>
      <c r="M78" s="26" t="s">
        <v>52</v>
      </c>
      <c r="N78" s="27">
        <v>0</v>
      </c>
      <c r="O78" s="27" t="s">
        <v>324</v>
      </c>
      <c r="P78" s="28">
        <v>1</v>
      </c>
      <c r="Q78" s="28">
        <v>1</v>
      </c>
      <c r="R78" s="28">
        <f t="shared" si="10"/>
        <v>1</v>
      </c>
      <c r="S78" s="28">
        <f t="shared" si="11"/>
        <v>2</v>
      </c>
      <c r="T78" s="28">
        <f>SUMIF('Stock In Log'!C:C, H78, 'Stock In Log'!D:D) - SUMIF('Stock Out Log'!C:C, H78, 'Stock Out Log'!D:D)</f>
        <v>0</v>
      </c>
      <c r="U78" s="27">
        <f t="shared" si="12"/>
        <v>0</v>
      </c>
      <c r="V78" s="29" t="str">
        <f t="shared" si="13"/>
        <v>ควรสั่งซื้อ</v>
      </c>
      <c r="W78" s="26" t="str">
        <f t="shared" si="14"/>
        <v>🔴 วิกฤต! (ของหมด)</v>
      </c>
      <c r="X78" s="26">
        <v>6</v>
      </c>
      <c r="Y78" s="25" t="s">
        <v>54</v>
      </c>
      <c r="Z78" s="28">
        <v>0</v>
      </c>
      <c r="AA78" s="26"/>
      <c r="AB78" s="26"/>
    </row>
    <row r="79" spans="1:28" ht="15" customHeight="1" x14ac:dyDescent="0.3">
      <c r="A79" s="26">
        <v>78</v>
      </c>
      <c r="B79" s="25" t="s">
        <v>310</v>
      </c>
      <c r="C79" s="25" t="s">
        <v>325</v>
      </c>
      <c r="D79" s="26" t="s">
        <v>326</v>
      </c>
      <c r="G79" s="25" t="s">
        <v>116</v>
      </c>
      <c r="H79" s="26" t="s">
        <v>327</v>
      </c>
      <c r="I79" s="25" t="s">
        <v>150</v>
      </c>
      <c r="J79" s="26" t="s">
        <v>49</v>
      </c>
      <c r="M79" s="26" t="s">
        <v>52</v>
      </c>
      <c r="N79" s="27">
        <v>0</v>
      </c>
      <c r="O79" s="27" t="s">
        <v>328</v>
      </c>
      <c r="P79" s="28">
        <v>1</v>
      </c>
      <c r="Q79" s="28">
        <v>1</v>
      </c>
      <c r="R79" s="28">
        <f t="shared" si="10"/>
        <v>1</v>
      </c>
      <c r="S79" s="28">
        <f t="shared" si="11"/>
        <v>2</v>
      </c>
      <c r="T79" s="28">
        <f>SUMIF('Stock In Log'!C:C, H79, 'Stock In Log'!D:D) - SUMIF('Stock Out Log'!C:C, H79, 'Stock Out Log'!D:D)</f>
        <v>0</v>
      </c>
      <c r="U79" s="27">
        <f t="shared" si="12"/>
        <v>0</v>
      </c>
      <c r="V79" s="29" t="str">
        <f t="shared" si="13"/>
        <v>ควรสั่งซื้อ</v>
      </c>
      <c r="W79" s="26" t="str">
        <f t="shared" si="14"/>
        <v>🔴 วิกฤต! (ของหมด)</v>
      </c>
      <c r="X79" s="26">
        <v>6</v>
      </c>
      <c r="Y79" s="25" t="s">
        <v>54</v>
      </c>
      <c r="Z79" s="28">
        <v>0</v>
      </c>
      <c r="AA79" s="26"/>
      <c r="AB79" s="26"/>
    </row>
    <row r="80" spans="1:28" ht="15" customHeight="1" x14ac:dyDescent="0.3">
      <c r="A80" s="26">
        <v>79</v>
      </c>
      <c r="B80" s="25" t="s">
        <v>310</v>
      </c>
      <c r="C80" s="25" t="s">
        <v>325</v>
      </c>
      <c r="D80" s="26" t="s">
        <v>326</v>
      </c>
      <c r="G80" s="25" t="s">
        <v>329</v>
      </c>
      <c r="H80" s="26" t="s">
        <v>330</v>
      </c>
      <c r="I80" t="s">
        <v>331</v>
      </c>
      <c r="J80" s="26" t="s">
        <v>49</v>
      </c>
      <c r="M80" s="26" t="s">
        <v>52</v>
      </c>
      <c r="N80" s="27">
        <v>0</v>
      </c>
      <c r="O80" s="27" t="s">
        <v>332</v>
      </c>
      <c r="P80" s="28">
        <v>1</v>
      </c>
      <c r="Q80" s="28">
        <v>1</v>
      </c>
      <c r="R80" s="28">
        <f t="shared" si="10"/>
        <v>1</v>
      </c>
      <c r="S80" s="28">
        <f t="shared" si="11"/>
        <v>2</v>
      </c>
      <c r="T80" s="28">
        <f>SUMIF('Stock In Log'!C:C, H80, 'Stock In Log'!D:D) - SUMIF('Stock Out Log'!C:C, H80, 'Stock Out Log'!D:D)</f>
        <v>0</v>
      </c>
      <c r="U80" s="27">
        <f t="shared" si="12"/>
        <v>0</v>
      </c>
      <c r="V80" s="29" t="str">
        <f t="shared" si="13"/>
        <v>ควรสั่งซื้อ</v>
      </c>
      <c r="W80" s="26" t="str">
        <f t="shared" si="14"/>
        <v>🔴 วิกฤต! (ของหมด)</v>
      </c>
      <c r="X80" s="26">
        <v>6</v>
      </c>
      <c r="Y80" s="25" t="s">
        <v>54</v>
      </c>
      <c r="Z80" s="28">
        <v>0</v>
      </c>
      <c r="AA80" s="26"/>
      <c r="AB80" s="26"/>
    </row>
    <row r="81" spans="1:28" ht="15" customHeight="1" x14ac:dyDescent="0.3">
      <c r="A81" s="26">
        <v>80</v>
      </c>
      <c r="B81" s="25" t="s">
        <v>333</v>
      </c>
      <c r="C81" s="25" t="s">
        <v>325</v>
      </c>
      <c r="D81" s="26" t="s">
        <v>334</v>
      </c>
      <c r="G81" s="25" t="s">
        <v>329</v>
      </c>
      <c r="H81" s="26" t="s">
        <v>335</v>
      </c>
      <c r="I81" t="s">
        <v>331</v>
      </c>
      <c r="J81" s="26" t="s">
        <v>49</v>
      </c>
      <c r="M81" s="26" t="s">
        <v>52</v>
      </c>
      <c r="N81" s="27">
        <v>0</v>
      </c>
      <c r="O81" s="27" t="s">
        <v>336</v>
      </c>
      <c r="P81" s="28">
        <v>1</v>
      </c>
      <c r="Q81" s="28">
        <v>1</v>
      </c>
      <c r="R81" s="28">
        <f t="shared" si="10"/>
        <v>1</v>
      </c>
      <c r="S81" s="28">
        <f t="shared" si="11"/>
        <v>2</v>
      </c>
      <c r="T81" s="28">
        <f>SUMIF('Stock In Log'!C:C, H81, 'Stock In Log'!D:D) - SUMIF('Stock Out Log'!C:C, H81, 'Stock Out Log'!D:D)</f>
        <v>0</v>
      </c>
      <c r="U81" s="27">
        <f t="shared" si="12"/>
        <v>0</v>
      </c>
      <c r="V81" s="29" t="str">
        <f t="shared" si="13"/>
        <v>ควรสั่งซื้อ</v>
      </c>
      <c r="W81" s="26" t="str">
        <f t="shared" si="14"/>
        <v>🔴 วิกฤต! (ของหมด)</v>
      </c>
      <c r="X81" s="26">
        <v>6</v>
      </c>
      <c r="Y81" s="25" t="s">
        <v>54</v>
      </c>
      <c r="Z81" s="28">
        <v>0</v>
      </c>
      <c r="AA81" s="26"/>
      <c r="AB81" s="26"/>
    </row>
    <row r="82" spans="1:28" ht="15" customHeight="1" x14ac:dyDescent="0.3">
      <c r="A82" s="26">
        <v>81</v>
      </c>
      <c r="B82" s="25" t="s">
        <v>333</v>
      </c>
      <c r="C82" s="25" t="s">
        <v>325</v>
      </c>
      <c r="D82" s="26" t="s">
        <v>334</v>
      </c>
      <c r="G82" s="25" t="s">
        <v>116</v>
      </c>
      <c r="H82" s="26" t="s">
        <v>337</v>
      </c>
      <c r="I82" s="25" t="s">
        <v>145</v>
      </c>
      <c r="J82" s="26" t="s">
        <v>49</v>
      </c>
      <c r="M82" s="26" t="s">
        <v>52</v>
      </c>
      <c r="N82" s="27">
        <v>0</v>
      </c>
      <c r="O82" s="27" t="s">
        <v>338</v>
      </c>
      <c r="P82" s="28">
        <v>1</v>
      </c>
      <c r="Q82" s="28">
        <v>1</v>
      </c>
      <c r="R82" s="28">
        <f t="shared" si="10"/>
        <v>1</v>
      </c>
      <c r="S82" s="28">
        <f t="shared" si="11"/>
        <v>2</v>
      </c>
      <c r="T82" s="28">
        <f>SUMIF('Stock In Log'!C:C, H82, 'Stock In Log'!D:D) - SUMIF('Stock Out Log'!C:C, H82, 'Stock Out Log'!D:D)</f>
        <v>0</v>
      </c>
      <c r="U82" s="27">
        <f t="shared" si="12"/>
        <v>0</v>
      </c>
      <c r="V82" s="29" t="str">
        <f t="shared" si="13"/>
        <v>ควรสั่งซื้อ</v>
      </c>
      <c r="W82" s="26" t="str">
        <f t="shared" si="14"/>
        <v>🔴 วิกฤต! (ของหมด)</v>
      </c>
      <c r="X82" s="26">
        <v>6</v>
      </c>
      <c r="Y82" s="25" t="s">
        <v>54</v>
      </c>
      <c r="Z82" s="28">
        <v>0</v>
      </c>
      <c r="AA82" s="26"/>
      <c r="AB82" s="26"/>
    </row>
    <row r="83" spans="1:28" ht="15" customHeight="1" x14ac:dyDescent="0.3">
      <c r="A83" s="26">
        <v>82</v>
      </c>
      <c r="B83" s="25" t="s">
        <v>339</v>
      </c>
      <c r="C83" s="25" t="s">
        <v>340</v>
      </c>
      <c r="D83" s="26" t="s">
        <v>341</v>
      </c>
      <c r="G83" s="25" t="s">
        <v>116</v>
      </c>
      <c r="H83" s="26" t="s">
        <v>342</v>
      </c>
      <c r="I83" s="25" t="s">
        <v>145</v>
      </c>
      <c r="J83" s="26" t="s">
        <v>146</v>
      </c>
      <c r="M83" s="26" t="s">
        <v>52</v>
      </c>
      <c r="N83" s="27">
        <v>0</v>
      </c>
      <c r="O83" s="27" t="s">
        <v>343</v>
      </c>
      <c r="P83" s="28">
        <v>1</v>
      </c>
      <c r="Q83" s="28">
        <v>1</v>
      </c>
      <c r="R83" s="28">
        <f t="shared" si="10"/>
        <v>1</v>
      </c>
      <c r="S83" s="28">
        <f t="shared" si="11"/>
        <v>2</v>
      </c>
      <c r="T83" s="28">
        <f>SUMIF('Stock In Log'!C:C, H83, 'Stock In Log'!D:D) - SUMIF('Stock Out Log'!C:C, H83, 'Stock Out Log'!D:D)</f>
        <v>0</v>
      </c>
      <c r="U83" s="27">
        <f t="shared" si="12"/>
        <v>0</v>
      </c>
      <c r="V83" s="29" t="str">
        <f t="shared" si="13"/>
        <v>ควรสั่งซื้อ</v>
      </c>
      <c r="W83" s="26" t="str">
        <f t="shared" si="14"/>
        <v>🔴 วิกฤต! (ของหมด)</v>
      </c>
      <c r="X83" s="26">
        <v>6</v>
      </c>
      <c r="Y83" s="25" t="s">
        <v>54</v>
      </c>
      <c r="Z83" s="28">
        <v>0</v>
      </c>
      <c r="AA83" s="26"/>
      <c r="AB83" s="26"/>
    </row>
    <row r="84" spans="1:28" ht="14.4" customHeight="1" x14ac:dyDescent="0.3">
      <c r="A84" s="26">
        <v>83</v>
      </c>
      <c r="B84" s="25" t="s">
        <v>339</v>
      </c>
      <c r="C84" s="25" t="s">
        <v>340</v>
      </c>
      <c r="D84" s="26" t="s">
        <v>341</v>
      </c>
      <c r="G84" s="25" t="s">
        <v>116</v>
      </c>
      <c r="H84" s="26" t="s">
        <v>344</v>
      </c>
      <c r="I84" s="25" t="s">
        <v>150</v>
      </c>
      <c r="J84" s="26" t="s">
        <v>146</v>
      </c>
      <c r="M84" s="26" t="s">
        <v>52</v>
      </c>
      <c r="N84" s="27">
        <v>0</v>
      </c>
      <c r="O84" s="27" t="s">
        <v>345</v>
      </c>
      <c r="P84" s="28">
        <v>1</v>
      </c>
      <c r="Q84" s="28">
        <v>1</v>
      </c>
      <c r="R84" s="28">
        <f t="shared" si="10"/>
        <v>1</v>
      </c>
      <c r="S84" s="28">
        <f t="shared" si="11"/>
        <v>2</v>
      </c>
      <c r="T84" s="28">
        <f>SUMIF('Stock In Log'!C:C, H84, 'Stock In Log'!D:D) - SUMIF('Stock Out Log'!C:C, H84, 'Stock Out Log'!D:D)</f>
        <v>0</v>
      </c>
      <c r="U84" s="27">
        <f t="shared" si="12"/>
        <v>0</v>
      </c>
      <c r="V84" s="29" t="str">
        <f t="shared" si="13"/>
        <v>ควรสั่งซื้อ</v>
      </c>
      <c r="W84" s="26" t="str">
        <f t="shared" si="14"/>
        <v>🔴 วิกฤต! (ของหมด)</v>
      </c>
      <c r="X84" s="26">
        <v>6</v>
      </c>
      <c r="Y84" s="25" t="s">
        <v>54</v>
      </c>
      <c r="Z84" s="28">
        <v>0</v>
      </c>
      <c r="AA84" s="26"/>
      <c r="AB84" s="26"/>
    </row>
    <row r="85" spans="1:28" ht="15" customHeight="1" x14ac:dyDescent="0.3">
      <c r="A85" s="26">
        <v>84</v>
      </c>
      <c r="B85" s="25" t="s">
        <v>346</v>
      </c>
      <c r="C85" s="25" t="s">
        <v>346</v>
      </c>
      <c r="D85" s="15" t="s">
        <v>347</v>
      </c>
      <c r="G85" s="25" t="s">
        <v>116</v>
      </c>
      <c r="H85" s="26" t="s">
        <v>348</v>
      </c>
      <c r="I85" s="25" t="s">
        <v>150</v>
      </c>
      <c r="J85" s="26" t="s">
        <v>146</v>
      </c>
      <c r="M85" s="26" t="s">
        <v>52</v>
      </c>
      <c r="N85" s="27">
        <v>0</v>
      </c>
      <c r="O85" s="27" t="s">
        <v>349</v>
      </c>
      <c r="P85" s="28">
        <v>1</v>
      </c>
      <c r="Q85" s="28">
        <v>1</v>
      </c>
      <c r="R85" s="28">
        <f t="shared" si="10"/>
        <v>1</v>
      </c>
      <c r="S85" s="28">
        <f t="shared" si="11"/>
        <v>2</v>
      </c>
      <c r="T85" s="28">
        <f>SUMIF('Stock In Log'!C:C, H85, 'Stock In Log'!D:D) - SUMIF('Stock Out Log'!C:C, H85, 'Stock Out Log'!D:D)</f>
        <v>0</v>
      </c>
      <c r="U85" s="27">
        <f t="shared" si="12"/>
        <v>0</v>
      </c>
      <c r="V85" s="29" t="str">
        <f t="shared" si="13"/>
        <v>ควรสั่งซื้อ</v>
      </c>
      <c r="W85" s="26" t="str">
        <f t="shared" si="14"/>
        <v>🔴 วิกฤต! (ของหมด)</v>
      </c>
      <c r="X85" s="26">
        <v>9</v>
      </c>
      <c r="Y85" s="25" t="s">
        <v>54</v>
      </c>
      <c r="Z85" s="28">
        <v>0</v>
      </c>
    </row>
    <row r="86" spans="1:28" ht="15" customHeight="1" x14ac:dyDescent="0.3">
      <c r="A86" s="26">
        <v>85</v>
      </c>
      <c r="B86" s="25" t="s">
        <v>350</v>
      </c>
      <c r="C86" s="25" t="s">
        <v>350</v>
      </c>
      <c r="D86" s="26" t="s">
        <v>351</v>
      </c>
      <c r="G86" s="25" t="s">
        <v>116</v>
      </c>
      <c r="H86" s="26" t="s">
        <v>352</v>
      </c>
      <c r="I86" s="25" t="s">
        <v>150</v>
      </c>
      <c r="J86" s="26" t="s">
        <v>146</v>
      </c>
      <c r="M86" s="26" t="s">
        <v>52</v>
      </c>
      <c r="N86" s="27">
        <v>0</v>
      </c>
      <c r="O86" s="27" t="s">
        <v>353</v>
      </c>
      <c r="P86" s="28">
        <v>1</v>
      </c>
      <c r="Q86" s="28">
        <v>1</v>
      </c>
      <c r="R86" s="28">
        <f t="shared" si="10"/>
        <v>1</v>
      </c>
      <c r="S86" s="28">
        <f t="shared" si="11"/>
        <v>2</v>
      </c>
      <c r="T86" s="28">
        <f>SUMIF('Stock In Log'!C:C, H86, 'Stock In Log'!D:D) - SUMIF('Stock Out Log'!C:C, H86, 'Stock Out Log'!D:D)</f>
        <v>0</v>
      </c>
      <c r="U86" s="27">
        <f t="shared" si="12"/>
        <v>0</v>
      </c>
      <c r="V86" s="29" t="str">
        <f t="shared" si="13"/>
        <v>ควรสั่งซื้อ</v>
      </c>
      <c r="W86" s="26" t="str">
        <f t="shared" si="14"/>
        <v>🔴 วิกฤต! (ของหมด)</v>
      </c>
      <c r="X86" s="26">
        <v>9</v>
      </c>
      <c r="Y86" s="25" t="s">
        <v>54</v>
      </c>
      <c r="Z86" s="28">
        <v>0</v>
      </c>
    </row>
    <row r="87" spans="1:28" ht="15" customHeight="1" x14ac:dyDescent="0.3">
      <c r="A87" s="26">
        <v>86</v>
      </c>
      <c r="B87" s="25" t="s">
        <v>354</v>
      </c>
      <c r="C87" s="25" t="s">
        <v>354</v>
      </c>
      <c r="D87" s="26" t="s">
        <v>355</v>
      </c>
      <c r="G87" s="25" t="s">
        <v>116</v>
      </c>
      <c r="H87" s="26" t="s">
        <v>352</v>
      </c>
      <c r="I87" s="25" t="s">
        <v>150</v>
      </c>
      <c r="J87" s="26" t="s">
        <v>146</v>
      </c>
      <c r="M87" s="26" t="s">
        <v>52</v>
      </c>
      <c r="N87" s="27">
        <v>0</v>
      </c>
      <c r="O87" s="27" t="s">
        <v>356</v>
      </c>
      <c r="P87" s="28">
        <v>1</v>
      </c>
      <c r="Q87" s="28">
        <v>1</v>
      </c>
      <c r="R87" s="28">
        <f t="shared" si="10"/>
        <v>1</v>
      </c>
      <c r="S87" s="28">
        <f t="shared" si="11"/>
        <v>2</v>
      </c>
      <c r="T87" s="28">
        <f>SUMIF('Stock In Log'!C:C, H87, 'Stock In Log'!D:D) - SUMIF('Stock Out Log'!C:C, H87, 'Stock Out Log'!D:D)</f>
        <v>0</v>
      </c>
      <c r="U87" s="27">
        <f t="shared" si="12"/>
        <v>0</v>
      </c>
      <c r="V87" s="29" t="str">
        <f t="shared" si="13"/>
        <v>ควรสั่งซื้อ</v>
      </c>
      <c r="W87" s="26" t="str">
        <f t="shared" si="14"/>
        <v>🔴 วิกฤต! (ของหมด)</v>
      </c>
      <c r="X87" s="26">
        <v>9</v>
      </c>
      <c r="Y87" s="25" t="s">
        <v>54</v>
      </c>
      <c r="Z87" s="28">
        <v>0</v>
      </c>
    </row>
    <row r="88" spans="1:28" ht="15" customHeight="1" x14ac:dyDescent="0.3">
      <c r="A88" s="26">
        <v>87</v>
      </c>
      <c r="B88" s="25" t="s">
        <v>354</v>
      </c>
      <c r="C88" s="25" t="s">
        <v>354</v>
      </c>
      <c r="D88" s="26" t="s">
        <v>355</v>
      </c>
      <c r="G88" s="25" t="s">
        <v>116</v>
      </c>
      <c r="H88" s="26" t="s">
        <v>352</v>
      </c>
      <c r="I88" s="25" t="s">
        <v>295</v>
      </c>
      <c r="J88" s="26" t="s">
        <v>146</v>
      </c>
      <c r="M88" s="26" t="s">
        <v>52</v>
      </c>
      <c r="N88" s="27">
        <v>0</v>
      </c>
      <c r="O88" s="27" t="s">
        <v>357</v>
      </c>
      <c r="P88" s="28">
        <v>1</v>
      </c>
      <c r="Q88" s="28">
        <v>1</v>
      </c>
      <c r="R88" s="28">
        <f t="shared" si="10"/>
        <v>1</v>
      </c>
      <c r="S88" s="28">
        <f t="shared" si="11"/>
        <v>2</v>
      </c>
      <c r="T88" s="28">
        <f>SUMIF('Stock In Log'!C:C, H88, 'Stock In Log'!D:D) - SUMIF('Stock Out Log'!C:C, H88, 'Stock Out Log'!D:D)</f>
        <v>0</v>
      </c>
      <c r="U88" s="27">
        <f t="shared" si="12"/>
        <v>0</v>
      </c>
      <c r="V88" s="29" t="str">
        <f t="shared" si="13"/>
        <v>ควรสั่งซื้อ</v>
      </c>
      <c r="W88" s="26" t="str">
        <f t="shared" si="14"/>
        <v>🔴 วิกฤต! (ของหมด)</v>
      </c>
      <c r="X88" s="26">
        <v>9</v>
      </c>
      <c r="Y88" s="25" t="s">
        <v>54</v>
      </c>
      <c r="Z88" s="28">
        <v>0</v>
      </c>
    </row>
    <row r="89" spans="1:28" ht="15" customHeight="1" x14ac:dyDescent="0.3">
      <c r="A89" s="26">
        <v>86</v>
      </c>
      <c r="B89" s="25" t="s">
        <v>358</v>
      </c>
      <c r="C89" s="25" t="s">
        <v>359</v>
      </c>
      <c r="D89" s="26" t="s">
        <v>360</v>
      </c>
      <c r="E89" s="26"/>
      <c r="F89" s="26"/>
      <c r="G89" s="25" t="s">
        <v>116</v>
      </c>
      <c r="H89" s="26" t="s">
        <v>361</v>
      </c>
      <c r="I89" s="25" t="s">
        <v>150</v>
      </c>
      <c r="J89" s="26" t="s">
        <v>146</v>
      </c>
      <c r="K89" s="26"/>
      <c r="L89" s="26"/>
      <c r="M89" s="26" t="s">
        <v>52</v>
      </c>
      <c r="N89" s="27">
        <v>0</v>
      </c>
      <c r="O89" s="27" t="s">
        <v>362</v>
      </c>
      <c r="P89" s="28">
        <v>1</v>
      </c>
      <c r="Q89" s="28">
        <v>1</v>
      </c>
      <c r="R89" s="28">
        <f t="shared" si="10"/>
        <v>1</v>
      </c>
      <c r="S89" s="28">
        <f t="shared" si="11"/>
        <v>2</v>
      </c>
      <c r="T89" s="28">
        <f>SUMIF('Stock In Log'!C:C, H89, 'Stock In Log'!D:D) - SUMIF('Stock Out Log'!C:C, H89, 'Stock Out Log'!D:D)</f>
        <v>0</v>
      </c>
      <c r="U89" s="27">
        <f t="shared" si="12"/>
        <v>0</v>
      </c>
      <c r="V89" s="29" t="str">
        <f t="shared" si="13"/>
        <v>ควรสั่งซื้อ</v>
      </c>
      <c r="W89" s="26" t="str">
        <f t="shared" si="14"/>
        <v>🔴 วิกฤต! (ของหมด)</v>
      </c>
      <c r="X89" s="26">
        <v>9</v>
      </c>
      <c r="Y89" s="25" t="s">
        <v>54</v>
      </c>
      <c r="Z89" s="28">
        <v>0</v>
      </c>
      <c r="AA89" s="26"/>
      <c r="AB89" s="26"/>
    </row>
    <row r="90" spans="1:28" x14ac:dyDescent="0.3">
      <c r="D90" s="15"/>
    </row>
    <row r="91" spans="1:28" x14ac:dyDescent="0.3">
      <c r="D91" s="15"/>
    </row>
    <row r="92" spans="1:28" x14ac:dyDescent="0.3">
      <c r="D92" s="15"/>
    </row>
    <row r="93" spans="1:28" x14ac:dyDescent="0.3">
      <c r="D93" s="15"/>
    </row>
    <row r="94" spans="1:28" x14ac:dyDescent="0.3">
      <c r="D94" s="15"/>
    </row>
    <row r="95" spans="1:28" x14ac:dyDescent="0.3">
      <c r="D95" s="15"/>
    </row>
    <row r="96" spans="1:28" x14ac:dyDescent="0.3">
      <c r="D96" s="15"/>
    </row>
    <row r="97" spans="4:4" x14ac:dyDescent="0.3">
      <c r="D97" s="15"/>
    </row>
    <row r="98" spans="4:4" x14ac:dyDescent="0.3">
      <c r="D98" s="15"/>
    </row>
    <row r="99" spans="4:4" x14ac:dyDescent="0.3">
      <c r="D99" s="15"/>
    </row>
    <row r="100" spans="4:4" x14ac:dyDescent="0.3">
      <c r="D100" s="15"/>
    </row>
    <row r="101" spans="4:4" x14ac:dyDescent="0.3">
      <c r="D101" s="15"/>
    </row>
  </sheetData>
  <conditionalFormatting sqref="V2:V89">
    <cfRule type="expression" dxfId="5" priority="7">
      <formula>$V2="ปกติ"</formula>
    </cfRule>
    <cfRule type="expression" dxfId="4" priority="8">
      <formula>$V2="ควรสั่งซื้อ"</formula>
    </cfRule>
    <cfRule type="expression" dxfId="3" priority="9">
      <formula>$V2="ควรสั่งซื้อ"</formula>
    </cfRule>
  </conditionalFormatting>
  <conditionalFormatting sqref="W2:W89">
    <cfRule type="containsText" dxfId="2" priority="10" operator="containsText" text="🟢 ปกติ">
      <formula>NOT(ISERROR(SEARCH("🟢 ปกติ",W2)))</formula>
    </cfRule>
    <cfRule type="containsText" dxfId="1" priority="11" operator="containsText" text="🟡 ควรสั่งซื้อ (ต่ำกว่า ROP)">
      <formula>NOT(ISERROR(SEARCH("🟡 ควรสั่งซื้อ (ต่ำกว่า ROP)",W2)))</formula>
    </cfRule>
    <cfRule type="containsText" dxfId="0" priority="12" operator="containsText" text="🔴 วิกฤต! (ของหมด)">
      <formula>NOT(ISERROR(SEARCH("🔴 วิกฤต! (ของหมด)",W2)))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"/>
  <sheetViews>
    <sheetView zoomScale="90" zoomScaleNormal="90" workbookViewId="0">
      <selection activeCell="B3" sqref="B3"/>
    </sheetView>
  </sheetViews>
  <sheetFormatPr defaultRowHeight="14.4" x14ac:dyDescent="0.3"/>
  <cols>
    <col min="1" max="1" width="15.5546875" customWidth="1"/>
    <col min="2" max="2" width="13.6640625" customWidth="1"/>
    <col min="3" max="3" width="14.44140625" customWidth="1"/>
    <col min="4" max="4" width="12.5546875" customWidth="1"/>
    <col min="5" max="5" width="17" customWidth="1"/>
  </cols>
  <sheetData>
    <row r="1" spans="1:5" ht="16.8" customHeight="1" x14ac:dyDescent="0.4">
      <c r="A1" s="7" t="s">
        <v>363</v>
      </c>
      <c r="B1" s="7" t="s">
        <v>364</v>
      </c>
      <c r="C1" s="7" t="s">
        <v>15</v>
      </c>
      <c r="D1" s="7" t="s">
        <v>365</v>
      </c>
      <c r="E1" s="7" t="s">
        <v>366</v>
      </c>
    </row>
    <row r="2" spans="1:5" ht="15" customHeight="1" x14ac:dyDescent="0.35">
      <c r="A2" s="3" t="s">
        <v>367</v>
      </c>
      <c r="B2" s="3" t="s">
        <v>368</v>
      </c>
      <c r="C2" s="3" t="s">
        <v>47</v>
      </c>
      <c r="D2" s="4">
        <v>2</v>
      </c>
      <c r="E2" s="3" t="s">
        <v>369</v>
      </c>
    </row>
    <row r="3" spans="1:5" ht="15" customHeight="1" x14ac:dyDescent="0.35">
      <c r="A3" s="3" t="s">
        <v>367</v>
      </c>
      <c r="B3" s="3" t="s">
        <v>368</v>
      </c>
      <c r="C3" s="3" t="s">
        <v>57</v>
      </c>
      <c r="D3" s="4">
        <v>2</v>
      </c>
      <c r="E3" s="3" t="s">
        <v>369</v>
      </c>
    </row>
    <row r="4" spans="1:5" ht="15" customHeight="1" x14ac:dyDescent="0.35">
      <c r="A4" s="3" t="s">
        <v>367</v>
      </c>
      <c r="B4" s="3" t="s">
        <v>368</v>
      </c>
      <c r="C4" s="3" t="s">
        <v>61</v>
      </c>
      <c r="D4" s="4">
        <v>2</v>
      </c>
      <c r="E4" s="3" t="s">
        <v>369</v>
      </c>
    </row>
    <row r="5" spans="1:5" ht="15" customHeight="1" x14ac:dyDescent="0.35">
      <c r="A5" s="3" t="s">
        <v>367</v>
      </c>
      <c r="B5" s="3" t="s">
        <v>368</v>
      </c>
      <c r="C5" s="3" t="s">
        <v>65</v>
      </c>
      <c r="D5" s="4">
        <v>2</v>
      </c>
      <c r="E5" s="3" t="s">
        <v>369</v>
      </c>
    </row>
    <row r="6" spans="1:5" ht="15" customHeight="1" x14ac:dyDescent="0.35">
      <c r="A6" s="3" t="s">
        <v>367</v>
      </c>
      <c r="B6" s="3" t="s">
        <v>368</v>
      </c>
      <c r="C6" s="3" t="s">
        <v>70</v>
      </c>
      <c r="D6" s="4">
        <v>3</v>
      </c>
      <c r="E6" s="3" t="s">
        <v>369</v>
      </c>
    </row>
    <row r="7" spans="1:5" ht="15" customHeight="1" x14ac:dyDescent="0.35">
      <c r="A7" s="3" t="s">
        <v>367</v>
      </c>
      <c r="B7" s="3" t="s">
        <v>368</v>
      </c>
      <c r="C7" s="3" t="s">
        <v>73</v>
      </c>
      <c r="D7" s="4">
        <v>3</v>
      </c>
      <c r="E7" s="3" t="s">
        <v>369</v>
      </c>
    </row>
    <row r="8" spans="1:5" ht="15" customHeight="1" x14ac:dyDescent="0.35">
      <c r="A8" s="3" t="s">
        <v>367</v>
      </c>
      <c r="B8" s="3" t="s">
        <v>368</v>
      </c>
      <c r="C8" s="3" t="s">
        <v>76</v>
      </c>
      <c r="D8" s="4">
        <v>2</v>
      </c>
      <c r="E8" s="3" t="s">
        <v>369</v>
      </c>
    </row>
    <row r="9" spans="1:5" ht="15" customHeight="1" x14ac:dyDescent="0.35">
      <c r="A9" s="3" t="s">
        <v>367</v>
      </c>
      <c r="B9" s="3" t="s">
        <v>368</v>
      </c>
      <c r="C9" s="3" t="s">
        <v>80</v>
      </c>
      <c r="D9" s="4">
        <v>2</v>
      </c>
      <c r="E9" s="3" t="s">
        <v>369</v>
      </c>
    </row>
    <row r="10" spans="1:5" ht="15" customHeight="1" x14ac:dyDescent="0.35">
      <c r="A10" s="3" t="s">
        <v>367</v>
      </c>
      <c r="B10" s="3" t="s">
        <v>368</v>
      </c>
      <c r="C10" s="3" t="s">
        <v>82</v>
      </c>
      <c r="D10" s="4">
        <v>2</v>
      </c>
      <c r="E10" s="3" t="s">
        <v>369</v>
      </c>
    </row>
    <row r="11" spans="1:5" ht="15" customHeight="1" x14ac:dyDescent="0.35">
      <c r="A11" s="3" t="s">
        <v>367</v>
      </c>
      <c r="B11" s="3" t="s">
        <v>368</v>
      </c>
      <c r="C11" s="3" t="s">
        <v>86</v>
      </c>
      <c r="D11" s="4">
        <v>2</v>
      </c>
      <c r="E11" s="3" t="s">
        <v>369</v>
      </c>
    </row>
    <row r="12" spans="1:5" ht="15" customHeight="1" x14ac:dyDescent="0.35">
      <c r="A12" s="3" t="s">
        <v>367</v>
      </c>
      <c r="B12" s="3" t="s">
        <v>368</v>
      </c>
      <c r="C12" s="3" t="s">
        <v>90</v>
      </c>
      <c r="D12" s="4">
        <v>2</v>
      </c>
      <c r="E12" s="3" t="s">
        <v>369</v>
      </c>
    </row>
    <row r="13" spans="1:5" ht="15" customHeight="1" x14ac:dyDescent="0.35">
      <c r="A13" s="3" t="s">
        <v>367</v>
      </c>
      <c r="B13" s="3" t="s">
        <v>368</v>
      </c>
      <c r="C13" s="3" t="s">
        <v>93</v>
      </c>
      <c r="D13" s="4">
        <v>2</v>
      </c>
      <c r="E13" s="3" t="s">
        <v>369</v>
      </c>
    </row>
    <row r="14" spans="1:5" ht="15" customHeight="1" x14ac:dyDescent="0.35">
      <c r="A14" s="3" t="s">
        <v>367</v>
      </c>
      <c r="B14" s="3" t="s">
        <v>368</v>
      </c>
      <c r="C14" s="3" t="s">
        <v>96</v>
      </c>
      <c r="D14" s="4">
        <v>2</v>
      </c>
      <c r="E14" s="3" t="s">
        <v>369</v>
      </c>
    </row>
    <row r="15" spans="1:5" ht="15" customHeight="1" x14ac:dyDescent="0.35">
      <c r="A15" s="3" t="s">
        <v>367</v>
      </c>
      <c r="B15" s="3" t="s">
        <v>368</v>
      </c>
      <c r="C15" s="3" t="s">
        <v>99</v>
      </c>
      <c r="D15" s="4">
        <v>2</v>
      </c>
      <c r="E15" s="3" t="s">
        <v>369</v>
      </c>
    </row>
    <row r="16" spans="1:5" ht="15" customHeight="1" x14ac:dyDescent="0.35">
      <c r="A16" s="3" t="s">
        <v>367</v>
      </c>
      <c r="B16" s="3" t="s">
        <v>368</v>
      </c>
      <c r="C16" s="3" t="s">
        <v>103</v>
      </c>
      <c r="D16" s="4">
        <v>2</v>
      </c>
      <c r="E16" s="3" t="s">
        <v>369</v>
      </c>
    </row>
    <row r="17" spans="1:5" ht="15" customHeight="1" x14ac:dyDescent="0.35">
      <c r="A17" s="3" t="s">
        <v>367</v>
      </c>
      <c r="B17" s="3" t="s">
        <v>368</v>
      </c>
      <c r="C17" s="3" t="s">
        <v>106</v>
      </c>
      <c r="D17" s="4">
        <v>2</v>
      </c>
      <c r="E17" s="3" t="s">
        <v>369</v>
      </c>
    </row>
    <row r="18" spans="1:5" ht="15" customHeight="1" x14ac:dyDescent="0.35">
      <c r="A18" s="3" t="s">
        <v>367</v>
      </c>
      <c r="B18" s="3" t="s">
        <v>368</v>
      </c>
      <c r="C18" s="3" t="s">
        <v>110</v>
      </c>
      <c r="D18" s="4">
        <v>2</v>
      </c>
      <c r="E18" s="3" t="s">
        <v>369</v>
      </c>
    </row>
    <row r="19" spans="1:5" ht="15" customHeight="1" x14ac:dyDescent="0.35">
      <c r="A19" s="3" t="s">
        <v>367</v>
      </c>
      <c r="B19" s="3" t="s">
        <v>368</v>
      </c>
      <c r="C19" s="3" t="s">
        <v>113</v>
      </c>
      <c r="D19" s="4">
        <v>2</v>
      </c>
      <c r="E19" s="3" t="s">
        <v>369</v>
      </c>
    </row>
    <row r="20" spans="1:5" ht="15" customHeight="1" x14ac:dyDescent="0.35">
      <c r="A20" s="3" t="s">
        <v>367</v>
      </c>
      <c r="B20" s="3" t="s">
        <v>368</v>
      </c>
      <c r="C20" s="3" t="s">
        <v>117</v>
      </c>
      <c r="D20" s="4">
        <v>2</v>
      </c>
      <c r="E20" s="3" t="s">
        <v>369</v>
      </c>
    </row>
    <row r="21" spans="1:5" ht="15" customHeight="1" x14ac:dyDescent="0.35">
      <c r="A21" s="3" t="s">
        <v>367</v>
      </c>
      <c r="B21" s="3" t="s">
        <v>368</v>
      </c>
      <c r="C21" s="3" t="s">
        <v>121</v>
      </c>
      <c r="D21" s="4">
        <v>2</v>
      </c>
      <c r="E21" s="3" t="s">
        <v>369</v>
      </c>
    </row>
    <row r="22" spans="1:5" ht="15" customHeight="1" x14ac:dyDescent="0.35">
      <c r="A22" s="3" t="s">
        <v>367</v>
      </c>
      <c r="B22" s="3" t="s">
        <v>368</v>
      </c>
      <c r="C22" s="3" t="s">
        <v>124</v>
      </c>
      <c r="D22" s="4">
        <v>2</v>
      </c>
      <c r="E22" s="3" t="s">
        <v>369</v>
      </c>
    </row>
    <row r="23" spans="1:5" ht="15" customHeight="1" x14ac:dyDescent="0.35">
      <c r="A23" s="3" t="s">
        <v>367</v>
      </c>
      <c r="B23" s="3" t="s">
        <v>368</v>
      </c>
      <c r="C23" s="3" t="s">
        <v>128</v>
      </c>
      <c r="D23" s="4">
        <v>9</v>
      </c>
      <c r="E23" s="3" t="s">
        <v>369</v>
      </c>
    </row>
    <row r="24" spans="1:5" ht="15" customHeight="1" x14ac:dyDescent="0.35">
      <c r="A24" s="3" t="s">
        <v>367</v>
      </c>
      <c r="B24" s="3" t="s">
        <v>368</v>
      </c>
      <c r="C24" s="3" t="s">
        <v>132</v>
      </c>
      <c r="D24" s="4">
        <v>4</v>
      </c>
      <c r="E24" s="3" t="s">
        <v>369</v>
      </c>
    </row>
    <row r="25" spans="1:5" ht="15" customHeight="1" x14ac:dyDescent="0.35">
      <c r="A25" s="3" t="s">
        <v>367</v>
      </c>
      <c r="B25" s="3" t="s">
        <v>368</v>
      </c>
      <c r="C25" s="3" t="s">
        <v>135</v>
      </c>
      <c r="D25" s="4">
        <v>4</v>
      </c>
      <c r="E25" s="3" t="s">
        <v>369</v>
      </c>
    </row>
    <row r="26" spans="1:5" ht="15" customHeight="1" x14ac:dyDescent="0.35">
      <c r="A26" s="3" t="s">
        <v>367</v>
      </c>
      <c r="B26" s="3" t="s">
        <v>368</v>
      </c>
      <c r="C26" s="3" t="s">
        <v>138</v>
      </c>
      <c r="D26" s="4">
        <v>8</v>
      </c>
      <c r="E26" s="3" t="s">
        <v>369</v>
      </c>
    </row>
    <row r="27" spans="1:5" ht="15" customHeight="1" x14ac:dyDescent="0.35">
      <c r="A27" s="3" t="s">
        <v>367</v>
      </c>
      <c r="B27" s="3" t="s">
        <v>368</v>
      </c>
      <c r="C27" s="3" t="s">
        <v>141</v>
      </c>
      <c r="D27" s="4">
        <v>4</v>
      </c>
      <c r="E27" s="3" t="s">
        <v>369</v>
      </c>
    </row>
    <row r="28" spans="1:5" ht="15" customHeight="1" x14ac:dyDescent="0.35">
      <c r="A28" s="3" t="s">
        <v>367</v>
      </c>
      <c r="B28" s="3" t="s">
        <v>368</v>
      </c>
      <c r="C28" s="3" t="s">
        <v>144</v>
      </c>
      <c r="D28" s="4">
        <v>2</v>
      </c>
      <c r="E28" s="3" t="s">
        <v>369</v>
      </c>
    </row>
    <row r="29" spans="1:5" ht="15" customHeight="1" x14ac:dyDescent="0.35">
      <c r="A29" s="3" t="s">
        <v>367</v>
      </c>
      <c r="B29" s="3" t="s">
        <v>368</v>
      </c>
      <c r="C29" s="3" t="s">
        <v>149</v>
      </c>
      <c r="D29" s="4">
        <v>2</v>
      </c>
      <c r="E29" s="3" t="s">
        <v>369</v>
      </c>
    </row>
    <row r="30" spans="1:5" ht="15" customHeight="1" x14ac:dyDescent="0.35">
      <c r="A30" s="3" t="s">
        <v>367</v>
      </c>
      <c r="B30" s="3" t="s">
        <v>368</v>
      </c>
      <c r="C30" s="3" t="s">
        <v>152</v>
      </c>
      <c r="D30" s="4">
        <v>2</v>
      </c>
      <c r="E30" s="3" t="s">
        <v>369</v>
      </c>
    </row>
    <row r="31" spans="1:5" ht="15" customHeight="1" x14ac:dyDescent="0.35">
      <c r="A31" s="3" t="s">
        <v>367</v>
      </c>
      <c r="B31" s="3" t="s">
        <v>368</v>
      </c>
      <c r="C31" s="3" t="s">
        <v>155</v>
      </c>
      <c r="D31" s="4">
        <v>2</v>
      </c>
      <c r="E31" s="3" t="s">
        <v>369</v>
      </c>
    </row>
    <row r="32" spans="1:5" ht="15" customHeight="1" x14ac:dyDescent="0.35">
      <c r="A32" s="3" t="s">
        <v>367</v>
      </c>
      <c r="B32" s="3" t="s">
        <v>368</v>
      </c>
      <c r="C32" s="3" t="s">
        <v>158</v>
      </c>
      <c r="D32" s="4">
        <v>2</v>
      </c>
      <c r="E32" s="3" t="s">
        <v>369</v>
      </c>
    </row>
    <row r="33" spans="1:5" ht="15" customHeight="1" x14ac:dyDescent="0.35">
      <c r="A33" s="3" t="s">
        <v>367</v>
      </c>
      <c r="B33" s="3" t="s">
        <v>368</v>
      </c>
      <c r="C33" s="3" t="s">
        <v>160</v>
      </c>
      <c r="D33" s="4">
        <v>2</v>
      </c>
      <c r="E33" s="3" t="s">
        <v>369</v>
      </c>
    </row>
    <row r="34" spans="1:5" ht="15" customHeight="1" x14ac:dyDescent="0.35">
      <c r="A34" s="3" t="s">
        <v>367</v>
      </c>
      <c r="B34" s="3" t="s">
        <v>368</v>
      </c>
      <c r="C34" s="3" t="s">
        <v>162</v>
      </c>
      <c r="D34" s="4">
        <v>2</v>
      </c>
      <c r="E34" s="3" t="s">
        <v>369</v>
      </c>
    </row>
    <row r="35" spans="1:5" ht="15" customHeight="1" x14ac:dyDescent="0.35">
      <c r="A35" s="3" t="s">
        <v>367</v>
      </c>
      <c r="B35" s="3" t="s">
        <v>368</v>
      </c>
      <c r="C35" s="3" t="s">
        <v>165</v>
      </c>
      <c r="D35" s="4">
        <v>2</v>
      </c>
      <c r="E35" s="3" t="s">
        <v>369</v>
      </c>
    </row>
    <row r="36" spans="1:5" ht="15" customHeight="1" x14ac:dyDescent="0.35">
      <c r="A36" s="3" t="s">
        <v>367</v>
      </c>
      <c r="B36" s="3" t="s">
        <v>368</v>
      </c>
      <c r="C36" s="3" t="s">
        <v>169</v>
      </c>
      <c r="D36" s="4">
        <v>3</v>
      </c>
      <c r="E36" s="3" t="s">
        <v>369</v>
      </c>
    </row>
    <row r="37" spans="1:5" ht="15" customHeight="1" x14ac:dyDescent="0.35">
      <c r="A37" s="3" t="s">
        <v>367</v>
      </c>
      <c r="B37" s="3" t="s">
        <v>368</v>
      </c>
      <c r="C37" s="3" t="s">
        <v>172</v>
      </c>
      <c r="D37" s="4">
        <v>3</v>
      </c>
      <c r="E37" s="3" t="s">
        <v>369</v>
      </c>
    </row>
    <row r="38" spans="1:5" ht="15" customHeight="1" x14ac:dyDescent="0.35">
      <c r="A38" s="3" t="s">
        <v>367</v>
      </c>
      <c r="B38" s="3" t="s">
        <v>368</v>
      </c>
      <c r="C38" s="3" t="s">
        <v>175</v>
      </c>
      <c r="D38" s="4">
        <v>7</v>
      </c>
      <c r="E38" s="3" t="s">
        <v>369</v>
      </c>
    </row>
    <row r="39" spans="1:5" ht="15" customHeight="1" x14ac:dyDescent="0.35">
      <c r="A39" s="3" t="s">
        <v>367</v>
      </c>
      <c r="B39" s="3" t="s">
        <v>368</v>
      </c>
      <c r="C39" s="3" t="s">
        <v>180</v>
      </c>
      <c r="D39" s="4">
        <v>2</v>
      </c>
      <c r="E39" s="3" t="s">
        <v>369</v>
      </c>
    </row>
    <row r="40" spans="1:5" ht="15" customHeight="1" x14ac:dyDescent="0.35">
      <c r="A40" s="3" t="s">
        <v>367</v>
      </c>
      <c r="B40" s="3" t="s">
        <v>368</v>
      </c>
      <c r="C40" s="3" t="s">
        <v>183</v>
      </c>
      <c r="D40" s="4">
        <v>2</v>
      </c>
      <c r="E40" s="3" t="s">
        <v>369</v>
      </c>
    </row>
    <row r="41" spans="1:5" ht="15" customHeight="1" x14ac:dyDescent="0.35">
      <c r="A41" s="3" t="s">
        <v>367</v>
      </c>
      <c r="B41" s="3" t="s">
        <v>368</v>
      </c>
      <c r="C41" s="3" t="s">
        <v>186</v>
      </c>
      <c r="D41" s="4">
        <v>2</v>
      </c>
      <c r="E41" s="3" t="s">
        <v>369</v>
      </c>
    </row>
    <row r="42" spans="1:5" ht="15" customHeight="1" x14ac:dyDescent="0.35">
      <c r="A42" s="3" t="s">
        <v>367</v>
      </c>
      <c r="B42" s="3" t="s">
        <v>368</v>
      </c>
      <c r="C42" s="3" t="s">
        <v>189</v>
      </c>
      <c r="D42" s="4">
        <v>2</v>
      </c>
      <c r="E42" s="3" t="s">
        <v>369</v>
      </c>
    </row>
    <row r="43" spans="1:5" ht="15" customHeight="1" x14ac:dyDescent="0.35">
      <c r="A43" s="3" t="s">
        <v>367</v>
      </c>
      <c r="B43" s="3" t="s">
        <v>368</v>
      </c>
      <c r="C43" s="3" t="s">
        <v>192</v>
      </c>
      <c r="D43" s="4">
        <v>2</v>
      </c>
      <c r="E43" s="3" t="s">
        <v>369</v>
      </c>
    </row>
    <row r="44" spans="1:5" ht="15" customHeight="1" x14ac:dyDescent="0.35">
      <c r="A44" s="3" t="s">
        <v>367</v>
      </c>
      <c r="B44" s="3" t="s">
        <v>368</v>
      </c>
      <c r="C44" s="3" t="s">
        <v>195</v>
      </c>
      <c r="D44" s="4">
        <v>2</v>
      </c>
      <c r="E44" s="3" t="s">
        <v>369</v>
      </c>
    </row>
    <row r="45" spans="1:5" ht="15" customHeight="1" x14ac:dyDescent="0.35">
      <c r="A45" s="3" t="s">
        <v>367</v>
      </c>
      <c r="B45" s="3" t="s">
        <v>368</v>
      </c>
      <c r="C45" s="3" t="s">
        <v>199</v>
      </c>
      <c r="D45" s="4">
        <v>2</v>
      </c>
      <c r="E45" s="3" t="s">
        <v>369</v>
      </c>
    </row>
    <row r="46" spans="1:5" ht="15" customHeight="1" x14ac:dyDescent="0.35">
      <c r="A46" s="3" t="s">
        <v>367</v>
      </c>
      <c r="B46" s="3" t="s">
        <v>368</v>
      </c>
      <c r="C46" s="3" t="s">
        <v>202</v>
      </c>
      <c r="D46" s="4">
        <v>2</v>
      </c>
      <c r="E46" s="3" t="s">
        <v>369</v>
      </c>
    </row>
    <row r="47" spans="1:5" ht="15" customHeight="1" x14ac:dyDescent="0.35">
      <c r="A47" s="3" t="s">
        <v>367</v>
      </c>
      <c r="B47" s="3" t="s">
        <v>368</v>
      </c>
      <c r="C47" s="3" t="s">
        <v>209</v>
      </c>
      <c r="D47" s="4">
        <v>2</v>
      </c>
      <c r="E47" s="3" t="s">
        <v>369</v>
      </c>
    </row>
    <row r="48" spans="1:5" ht="15" customHeight="1" x14ac:dyDescent="0.35">
      <c r="A48" s="3" t="s">
        <v>367</v>
      </c>
      <c r="B48" s="3" t="s">
        <v>368</v>
      </c>
      <c r="C48" s="3" t="s">
        <v>213</v>
      </c>
      <c r="D48" s="4">
        <v>3</v>
      </c>
      <c r="E48" s="3" t="s">
        <v>369</v>
      </c>
    </row>
    <row r="49" spans="1:5" ht="15" customHeight="1" x14ac:dyDescent="0.35">
      <c r="A49" s="3" t="s">
        <v>367</v>
      </c>
      <c r="B49" s="3" t="s">
        <v>368</v>
      </c>
      <c r="C49" s="3" t="s">
        <v>216</v>
      </c>
      <c r="D49" s="4">
        <v>2</v>
      </c>
      <c r="E49" s="3" t="s">
        <v>369</v>
      </c>
    </row>
    <row r="50" spans="1:5" ht="15" customHeight="1" x14ac:dyDescent="0.35">
      <c r="A50" s="3" t="s">
        <v>367</v>
      </c>
      <c r="B50" s="3" t="s">
        <v>368</v>
      </c>
      <c r="C50" s="3" t="s">
        <v>221</v>
      </c>
      <c r="D50" s="4">
        <v>2</v>
      </c>
      <c r="E50" s="3" t="s">
        <v>369</v>
      </c>
    </row>
    <row r="51" spans="1:5" ht="15" customHeight="1" x14ac:dyDescent="0.35">
      <c r="A51" s="3" t="s">
        <v>367</v>
      </c>
      <c r="B51" s="3" t="s">
        <v>368</v>
      </c>
      <c r="C51" s="3" t="s">
        <v>226</v>
      </c>
      <c r="D51" s="4">
        <v>2</v>
      </c>
      <c r="E51" s="3" t="s">
        <v>369</v>
      </c>
    </row>
    <row r="52" spans="1:5" ht="15" customHeight="1" x14ac:dyDescent="0.35">
      <c r="A52" s="3" t="s">
        <v>367</v>
      </c>
      <c r="B52" s="3" t="s">
        <v>368</v>
      </c>
      <c r="C52" s="3" t="s">
        <v>230</v>
      </c>
      <c r="D52" s="4">
        <v>2</v>
      </c>
      <c r="E52" s="3" t="s">
        <v>369</v>
      </c>
    </row>
    <row r="53" spans="1:5" ht="15" customHeight="1" x14ac:dyDescent="0.35">
      <c r="A53" s="3" t="s">
        <v>367</v>
      </c>
      <c r="B53" s="3" t="s">
        <v>368</v>
      </c>
      <c r="C53" s="3" t="s">
        <v>234</v>
      </c>
      <c r="D53" s="4">
        <v>2</v>
      </c>
      <c r="E53" s="3" t="s">
        <v>369</v>
      </c>
    </row>
    <row r="54" spans="1:5" ht="15" customHeight="1" x14ac:dyDescent="0.35">
      <c r="A54" s="3" t="s">
        <v>367</v>
      </c>
      <c r="B54" s="3" t="s">
        <v>368</v>
      </c>
      <c r="C54" s="3" t="s">
        <v>238</v>
      </c>
      <c r="D54" s="4">
        <v>2</v>
      </c>
      <c r="E54" s="3" t="s">
        <v>369</v>
      </c>
    </row>
    <row r="55" spans="1:5" ht="15" customHeight="1" x14ac:dyDescent="0.35">
      <c r="A55" s="3" t="s">
        <v>367</v>
      </c>
      <c r="B55" s="3" t="s">
        <v>368</v>
      </c>
      <c r="C55" s="3" t="s">
        <v>242</v>
      </c>
      <c r="D55" s="4">
        <v>2</v>
      </c>
      <c r="E55" s="3" t="s">
        <v>369</v>
      </c>
    </row>
    <row r="56" spans="1:5" ht="15" customHeight="1" x14ac:dyDescent="0.35">
      <c r="A56" s="3" t="s">
        <v>367</v>
      </c>
      <c r="B56" s="3" t="s">
        <v>368</v>
      </c>
      <c r="C56" s="3" t="s">
        <v>245</v>
      </c>
      <c r="D56" s="4">
        <v>2</v>
      </c>
      <c r="E56" s="3" t="s">
        <v>369</v>
      </c>
    </row>
    <row r="57" spans="1:5" ht="15" customHeight="1" x14ac:dyDescent="0.35">
      <c r="A57" s="3" t="s">
        <v>367</v>
      </c>
      <c r="B57" s="3" t="s">
        <v>368</v>
      </c>
      <c r="C57" s="3" t="s">
        <v>248</v>
      </c>
      <c r="D57" s="4">
        <v>2</v>
      </c>
      <c r="E57" s="3" t="s">
        <v>369</v>
      </c>
    </row>
    <row r="58" spans="1:5" ht="15" customHeight="1" x14ac:dyDescent="0.35">
      <c r="A58" s="3" t="s">
        <v>367</v>
      </c>
      <c r="B58" s="3" t="s">
        <v>368</v>
      </c>
      <c r="C58" s="3" t="s">
        <v>251</v>
      </c>
      <c r="D58" s="4">
        <v>2</v>
      </c>
      <c r="E58" s="3" t="s">
        <v>369</v>
      </c>
    </row>
    <row r="59" spans="1:5" ht="15" customHeight="1" x14ac:dyDescent="0.35">
      <c r="A59" s="3" t="s">
        <v>367</v>
      </c>
      <c r="B59" s="3" t="s">
        <v>368</v>
      </c>
      <c r="C59" s="3" t="s">
        <v>254</v>
      </c>
      <c r="D59" s="4">
        <v>7</v>
      </c>
      <c r="E59" s="3" t="s">
        <v>369</v>
      </c>
    </row>
    <row r="60" spans="1:5" ht="15" customHeight="1" x14ac:dyDescent="0.35">
      <c r="A60" s="3" t="s">
        <v>367</v>
      </c>
      <c r="B60" s="3" t="s">
        <v>368</v>
      </c>
      <c r="C60" s="3" t="s">
        <v>258</v>
      </c>
      <c r="D60" s="4">
        <v>5</v>
      </c>
      <c r="E60" s="3" t="s">
        <v>369</v>
      </c>
    </row>
    <row r="61" spans="1:5" ht="15" customHeight="1" x14ac:dyDescent="0.35">
      <c r="A61" s="3" t="s">
        <v>367</v>
      </c>
      <c r="B61" s="3" t="s">
        <v>368</v>
      </c>
      <c r="C61" s="3" t="s">
        <v>260</v>
      </c>
      <c r="D61" s="4">
        <v>6</v>
      </c>
      <c r="E61" s="3" t="s">
        <v>369</v>
      </c>
    </row>
    <row r="62" spans="1:5" ht="15" customHeight="1" x14ac:dyDescent="0.35">
      <c r="A62" s="3" t="s">
        <v>367</v>
      </c>
      <c r="B62" s="3" t="s">
        <v>368</v>
      </c>
      <c r="C62" s="3" t="s">
        <v>263</v>
      </c>
      <c r="D62" s="4">
        <v>2</v>
      </c>
      <c r="E62" s="3" t="s">
        <v>369</v>
      </c>
    </row>
    <row r="63" spans="1:5" ht="15" customHeight="1" x14ac:dyDescent="0.35">
      <c r="A63" s="3" t="s">
        <v>367</v>
      </c>
      <c r="B63" s="3" t="s">
        <v>368</v>
      </c>
      <c r="C63" s="3" t="s">
        <v>266</v>
      </c>
      <c r="D63" s="4">
        <v>2</v>
      </c>
      <c r="E63" s="3" t="s">
        <v>369</v>
      </c>
    </row>
    <row r="64" spans="1:5" ht="15" customHeight="1" x14ac:dyDescent="0.35">
      <c r="A64" s="3" t="s">
        <v>367</v>
      </c>
      <c r="B64" s="3" t="s">
        <v>368</v>
      </c>
      <c r="C64" s="3" t="s">
        <v>271</v>
      </c>
      <c r="D64" s="4">
        <v>2</v>
      </c>
      <c r="E64" s="3" t="s">
        <v>369</v>
      </c>
    </row>
    <row r="65" spans="1:5" ht="15" customHeight="1" x14ac:dyDescent="0.35">
      <c r="A65" s="3" t="s">
        <v>367</v>
      </c>
      <c r="B65" s="3" t="s">
        <v>368</v>
      </c>
      <c r="C65" s="3" t="s">
        <v>274</v>
      </c>
      <c r="D65" s="4">
        <v>2</v>
      </c>
      <c r="E65" s="3" t="s">
        <v>369</v>
      </c>
    </row>
    <row r="66" spans="1:5" ht="15" customHeight="1" x14ac:dyDescent="0.35">
      <c r="A66" s="3" t="s">
        <v>367</v>
      </c>
      <c r="B66" s="3" t="s">
        <v>368</v>
      </c>
      <c r="C66" s="3" t="s">
        <v>279</v>
      </c>
      <c r="D66" s="4">
        <v>3</v>
      </c>
      <c r="E66" s="3" t="s">
        <v>369</v>
      </c>
    </row>
    <row r="67" spans="1:5" ht="15" customHeight="1" x14ac:dyDescent="0.35">
      <c r="A67" s="3" t="s">
        <v>367</v>
      </c>
      <c r="B67" s="3" t="s">
        <v>368</v>
      </c>
      <c r="C67" s="3" t="s">
        <v>283</v>
      </c>
      <c r="D67" s="4">
        <v>2</v>
      </c>
      <c r="E67" s="3" t="s">
        <v>369</v>
      </c>
    </row>
    <row r="68" spans="1:5" ht="15" customHeight="1" x14ac:dyDescent="0.35">
      <c r="A68" s="3" t="s">
        <v>367</v>
      </c>
      <c r="B68" s="3" t="s">
        <v>368</v>
      </c>
      <c r="C68" s="3" t="s">
        <v>286</v>
      </c>
      <c r="D68" s="4">
        <v>2</v>
      </c>
      <c r="E68" s="3" t="s">
        <v>369</v>
      </c>
    </row>
    <row r="69" spans="1:5" ht="15" customHeight="1" x14ac:dyDescent="0.35">
      <c r="A69" s="3" t="s">
        <v>367</v>
      </c>
      <c r="B69" s="3" t="s">
        <v>368</v>
      </c>
      <c r="C69" s="3" t="s">
        <v>291</v>
      </c>
      <c r="D69" s="4">
        <v>2</v>
      </c>
      <c r="E69" s="3" t="s">
        <v>369</v>
      </c>
    </row>
    <row r="70" spans="1:5" ht="15" customHeight="1" x14ac:dyDescent="0.35">
      <c r="A70" s="3" t="s">
        <v>367</v>
      </c>
      <c r="B70" s="3" t="s">
        <v>368</v>
      </c>
      <c r="C70" s="3" t="s">
        <v>294</v>
      </c>
      <c r="D70" s="4">
        <v>2</v>
      </c>
      <c r="E70" s="3" t="s">
        <v>369</v>
      </c>
    </row>
    <row r="71" spans="1:5" ht="15" customHeight="1" x14ac:dyDescent="0.35">
      <c r="A71" s="3" t="s">
        <v>367</v>
      </c>
      <c r="B71" s="3" t="s">
        <v>368</v>
      </c>
      <c r="C71" s="3" t="s">
        <v>297</v>
      </c>
      <c r="D71" s="4">
        <v>2</v>
      </c>
      <c r="E71" s="3" t="s">
        <v>369</v>
      </c>
    </row>
    <row r="72" spans="1:5" ht="15" customHeight="1" x14ac:dyDescent="0.35">
      <c r="A72" s="3" t="s">
        <v>367</v>
      </c>
      <c r="B72" s="3" t="s">
        <v>368</v>
      </c>
      <c r="C72" s="3" t="s">
        <v>300</v>
      </c>
      <c r="D72" s="4">
        <v>2</v>
      </c>
      <c r="E72" s="3" t="s">
        <v>369</v>
      </c>
    </row>
    <row r="73" spans="1:5" ht="15" customHeight="1" x14ac:dyDescent="0.35">
      <c r="A73" s="3" t="s">
        <v>367</v>
      </c>
      <c r="B73" s="3" t="s">
        <v>368</v>
      </c>
      <c r="C73" s="3" t="s">
        <v>303</v>
      </c>
      <c r="D73" s="4">
        <v>2</v>
      </c>
      <c r="E73" s="3" t="s">
        <v>369</v>
      </c>
    </row>
    <row r="74" spans="1:5" ht="15" customHeight="1" x14ac:dyDescent="0.35">
      <c r="A74" s="3" t="s">
        <v>367</v>
      </c>
      <c r="B74" s="3" t="s">
        <v>368</v>
      </c>
      <c r="C74" s="3" t="s">
        <v>307</v>
      </c>
      <c r="D74" s="4">
        <v>2</v>
      </c>
      <c r="E74" s="3" t="s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4"/>
  <sheetViews>
    <sheetView workbookViewId="0">
      <selection activeCell="D13" sqref="D13"/>
    </sheetView>
  </sheetViews>
  <sheetFormatPr defaultRowHeight="14.4" x14ac:dyDescent="0.3"/>
  <cols>
    <col min="1" max="1" width="20.5546875" customWidth="1"/>
    <col min="2" max="2" width="14.33203125" customWidth="1"/>
    <col min="5" max="5" width="16.6640625" customWidth="1"/>
    <col min="6" max="6" width="15.33203125" customWidth="1"/>
    <col min="7" max="7" width="38.88671875" customWidth="1"/>
  </cols>
  <sheetData>
    <row r="1" spans="1:7" ht="16.8" customHeight="1" x14ac:dyDescent="0.4">
      <c r="A1" s="8" t="s">
        <v>363</v>
      </c>
      <c r="B1" s="8" t="s">
        <v>364</v>
      </c>
      <c r="C1" s="8" t="s">
        <v>15</v>
      </c>
      <c r="D1" s="8" t="s">
        <v>370</v>
      </c>
      <c r="E1" s="8" t="s">
        <v>371</v>
      </c>
      <c r="F1" s="8" t="s">
        <v>372</v>
      </c>
      <c r="G1" s="8" t="s">
        <v>373</v>
      </c>
    </row>
    <row r="2" spans="1:7" ht="15" customHeight="1" x14ac:dyDescent="0.35">
      <c r="A2" s="3" t="s">
        <v>374</v>
      </c>
      <c r="B2" s="3" t="s">
        <v>375</v>
      </c>
      <c r="C2" s="3" t="s">
        <v>47</v>
      </c>
      <c r="D2" s="4">
        <v>2</v>
      </c>
      <c r="E2" s="3" t="s">
        <v>376</v>
      </c>
      <c r="F2" s="3" t="s">
        <v>43</v>
      </c>
      <c r="G2" s="3" t="s">
        <v>377</v>
      </c>
    </row>
    <row r="3" spans="1:7" ht="15" customHeight="1" x14ac:dyDescent="0.35">
      <c r="A3" s="3" t="s">
        <v>374</v>
      </c>
      <c r="B3" s="3" t="s">
        <v>375</v>
      </c>
      <c r="C3" s="3" t="s">
        <v>57</v>
      </c>
      <c r="D3" s="4">
        <v>2</v>
      </c>
      <c r="E3" s="3" t="s">
        <v>376</v>
      </c>
      <c r="F3" s="3" t="s">
        <v>55</v>
      </c>
      <c r="G3" s="3" t="s">
        <v>377</v>
      </c>
    </row>
    <row r="4" spans="1:7" ht="15" customHeight="1" x14ac:dyDescent="0.35">
      <c r="A4" s="3" t="s">
        <v>374</v>
      </c>
      <c r="B4" s="3" t="s">
        <v>375</v>
      </c>
      <c r="C4" s="3" t="s">
        <v>61</v>
      </c>
      <c r="D4" s="4">
        <v>2</v>
      </c>
      <c r="E4" s="3" t="s">
        <v>376</v>
      </c>
      <c r="F4" s="3" t="s">
        <v>55</v>
      </c>
      <c r="G4" s="3" t="s">
        <v>377</v>
      </c>
    </row>
    <row r="5" spans="1:7" ht="15" customHeight="1" x14ac:dyDescent="0.35">
      <c r="A5" s="3" t="s">
        <v>374</v>
      </c>
      <c r="B5" s="3" t="s">
        <v>375</v>
      </c>
      <c r="C5" s="3" t="s">
        <v>65</v>
      </c>
      <c r="D5" s="4">
        <v>2</v>
      </c>
      <c r="E5" s="3" t="s">
        <v>376</v>
      </c>
      <c r="F5" s="3" t="s">
        <v>64</v>
      </c>
      <c r="G5" s="3" t="s">
        <v>377</v>
      </c>
    </row>
    <row r="6" spans="1:7" ht="15" customHeight="1" x14ac:dyDescent="0.35">
      <c r="A6" s="3" t="s">
        <v>374</v>
      </c>
      <c r="B6" s="3" t="s">
        <v>375</v>
      </c>
      <c r="C6" s="3" t="s">
        <v>70</v>
      </c>
      <c r="D6" s="4">
        <v>2</v>
      </c>
      <c r="E6" s="3" t="s">
        <v>376</v>
      </c>
      <c r="F6" s="3" t="s">
        <v>64</v>
      </c>
      <c r="G6" s="3" t="s">
        <v>377</v>
      </c>
    </row>
    <row r="7" spans="1:7" ht="15" customHeight="1" x14ac:dyDescent="0.35">
      <c r="A7" s="3" t="s">
        <v>374</v>
      </c>
      <c r="B7" s="3" t="s">
        <v>375</v>
      </c>
      <c r="C7" s="3" t="s">
        <v>73</v>
      </c>
      <c r="D7" s="4">
        <v>2</v>
      </c>
      <c r="E7" s="3" t="s">
        <v>376</v>
      </c>
      <c r="F7" s="3" t="s">
        <v>64</v>
      </c>
      <c r="G7" s="3" t="s">
        <v>377</v>
      </c>
    </row>
    <row r="8" spans="1:7" ht="15" customHeight="1" x14ac:dyDescent="0.35">
      <c r="A8" s="3" t="s">
        <v>374</v>
      </c>
      <c r="B8" s="3" t="s">
        <v>375</v>
      </c>
      <c r="C8" s="3" t="s">
        <v>76</v>
      </c>
      <c r="D8" s="4">
        <v>2</v>
      </c>
      <c r="E8" s="3" t="s">
        <v>376</v>
      </c>
      <c r="F8" s="3" t="s">
        <v>64</v>
      </c>
      <c r="G8" s="3" t="s">
        <v>377</v>
      </c>
    </row>
    <row r="9" spans="1:7" ht="15" customHeight="1" x14ac:dyDescent="0.35">
      <c r="A9" s="3" t="s">
        <v>374</v>
      </c>
      <c r="B9" s="3" t="s">
        <v>375</v>
      </c>
      <c r="C9" s="3" t="s">
        <v>80</v>
      </c>
      <c r="D9" s="4">
        <v>2</v>
      </c>
      <c r="E9" s="3" t="s">
        <v>376</v>
      </c>
      <c r="F9" s="3" t="s">
        <v>64</v>
      </c>
      <c r="G9" s="3" t="s">
        <v>377</v>
      </c>
    </row>
    <row r="10" spans="1:7" ht="15" customHeight="1" x14ac:dyDescent="0.35">
      <c r="A10" s="3" t="s">
        <v>374</v>
      </c>
      <c r="B10" s="3" t="s">
        <v>375</v>
      </c>
      <c r="C10" s="3" t="s">
        <v>82</v>
      </c>
      <c r="D10" s="4">
        <v>2</v>
      </c>
      <c r="E10" s="3" t="s">
        <v>376</v>
      </c>
      <c r="F10" s="3" t="s">
        <v>64</v>
      </c>
      <c r="G10" s="3" t="s">
        <v>377</v>
      </c>
    </row>
    <row r="11" spans="1:7" ht="15" customHeight="1" x14ac:dyDescent="0.35">
      <c r="A11" s="3" t="s">
        <v>374</v>
      </c>
      <c r="B11" s="3" t="s">
        <v>375</v>
      </c>
      <c r="C11" s="3" t="s">
        <v>86</v>
      </c>
      <c r="D11" s="4">
        <v>2</v>
      </c>
      <c r="E11" s="3" t="s">
        <v>376</v>
      </c>
      <c r="F11" s="3" t="s">
        <v>64</v>
      </c>
      <c r="G11" s="3" t="s">
        <v>377</v>
      </c>
    </row>
    <row r="12" spans="1:7" ht="15" customHeight="1" x14ac:dyDescent="0.35">
      <c r="A12" s="3" t="s">
        <v>374</v>
      </c>
      <c r="B12" s="3" t="s">
        <v>375</v>
      </c>
      <c r="C12" s="3" t="s">
        <v>90</v>
      </c>
      <c r="D12" s="4">
        <v>2</v>
      </c>
      <c r="E12" s="3" t="s">
        <v>376</v>
      </c>
      <c r="F12" s="3" t="s">
        <v>64</v>
      </c>
      <c r="G12" s="3" t="s">
        <v>377</v>
      </c>
    </row>
    <row r="13" spans="1:7" ht="15" customHeight="1" x14ac:dyDescent="0.35">
      <c r="A13" s="3" t="s">
        <v>374</v>
      </c>
      <c r="B13" s="3" t="s">
        <v>375</v>
      </c>
      <c r="C13" s="3" t="s">
        <v>93</v>
      </c>
      <c r="D13" s="4">
        <v>2</v>
      </c>
      <c r="E13" s="3" t="s">
        <v>376</v>
      </c>
      <c r="F13" s="3" t="s">
        <v>64</v>
      </c>
      <c r="G13" s="3" t="s">
        <v>377</v>
      </c>
    </row>
    <row r="14" spans="1:7" ht="15" customHeight="1" x14ac:dyDescent="0.35">
      <c r="A14" s="3" t="s">
        <v>374</v>
      </c>
      <c r="B14" s="3" t="s">
        <v>375</v>
      </c>
      <c r="C14" s="3" t="s">
        <v>96</v>
      </c>
      <c r="D14" s="4">
        <v>2</v>
      </c>
      <c r="E14" s="3" t="s">
        <v>376</v>
      </c>
      <c r="F14" s="3" t="s">
        <v>64</v>
      </c>
      <c r="G14" s="3" t="s">
        <v>377</v>
      </c>
    </row>
    <row r="15" spans="1:7" ht="15" customHeight="1" x14ac:dyDescent="0.35">
      <c r="A15" s="3" t="s">
        <v>374</v>
      </c>
      <c r="B15" s="3" t="s">
        <v>375</v>
      </c>
      <c r="C15" s="3" t="s">
        <v>99</v>
      </c>
      <c r="D15" s="4">
        <v>2</v>
      </c>
      <c r="E15" s="3" t="s">
        <v>376</v>
      </c>
      <c r="F15" s="3" t="s">
        <v>64</v>
      </c>
      <c r="G15" s="3" t="s">
        <v>377</v>
      </c>
    </row>
    <row r="16" spans="1:7" ht="15" customHeight="1" x14ac:dyDescent="0.35">
      <c r="A16" s="3" t="s">
        <v>374</v>
      </c>
      <c r="B16" s="3" t="s">
        <v>375</v>
      </c>
      <c r="C16" s="3" t="s">
        <v>103</v>
      </c>
      <c r="D16" s="4">
        <v>2</v>
      </c>
      <c r="E16" s="3" t="s">
        <v>376</v>
      </c>
      <c r="F16" s="3" t="s">
        <v>64</v>
      </c>
      <c r="G16" s="3" t="s">
        <v>377</v>
      </c>
    </row>
    <row r="17" spans="1:7" ht="15" customHeight="1" x14ac:dyDescent="0.35">
      <c r="A17" s="3" t="s">
        <v>374</v>
      </c>
      <c r="B17" s="3" t="s">
        <v>375</v>
      </c>
      <c r="C17" s="3" t="s">
        <v>106</v>
      </c>
      <c r="D17" s="4">
        <v>2</v>
      </c>
      <c r="E17" s="3" t="s">
        <v>376</v>
      </c>
      <c r="F17" s="3" t="s">
        <v>64</v>
      </c>
      <c r="G17" s="3" t="s">
        <v>377</v>
      </c>
    </row>
    <row r="18" spans="1:7" ht="15" customHeight="1" x14ac:dyDescent="0.35">
      <c r="A18" s="3" t="s">
        <v>374</v>
      </c>
      <c r="B18" s="3" t="s">
        <v>375</v>
      </c>
      <c r="C18" s="3" t="s">
        <v>110</v>
      </c>
      <c r="D18" s="4">
        <v>2</v>
      </c>
      <c r="E18" s="3" t="s">
        <v>376</v>
      </c>
      <c r="F18" s="3" t="s">
        <v>64</v>
      </c>
      <c r="G18" s="3" t="s">
        <v>377</v>
      </c>
    </row>
    <row r="19" spans="1:7" ht="15" customHeight="1" x14ac:dyDescent="0.35">
      <c r="A19" s="3" t="s">
        <v>374</v>
      </c>
      <c r="B19" s="3" t="s">
        <v>375</v>
      </c>
      <c r="C19" s="3" t="s">
        <v>113</v>
      </c>
      <c r="D19" s="4">
        <v>2</v>
      </c>
      <c r="E19" s="3" t="s">
        <v>376</v>
      </c>
      <c r="F19" s="3" t="s">
        <v>64</v>
      </c>
      <c r="G19" s="3" t="s">
        <v>377</v>
      </c>
    </row>
    <row r="20" spans="1:7" ht="15" customHeight="1" x14ac:dyDescent="0.35">
      <c r="A20" s="3" t="s">
        <v>374</v>
      </c>
      <c r="B20" s="3" t="s">
        <v>375</v>
      </c>
      <c r="C20" s="3" t="s">
        <v>117</v>
      </c>
      <c r="D20" s="4">
        <v>2</v>
      </c>
      <c r="E20" s="3" t="s">
        <v>376</v>
      </c>
      <c r="F20" s="3" t="s">
        <v>64</v>
      </c>
      <c r="G20" s="3" t="s">
        <v>377</v>
      </c>
    </row>
    <row r="21" spans="1:7" ht="15" customHeight="1" x14ac:dyDescent="0.35">
      <c r="A21" s="3" t="s">
        <v>374</v>
      </c>
      <c r="B21" s="3" t="s">
        <v>375</v>
      </c>
      <c r="C21" s="3" t="s">
        <v>121</v>
      </c>
      <c r="D21" s="4">
        <v>2</v>
      </c>
      <c r="E21" s="3" t="s">
        <v>376</v>
      </c>
      <c r="F21" s="3" t="s">
        <v>64</v>
      </c>
      <c r="G21" s="3" t="s">
        <v>377</v>
      </c>
    </row>
    <row r="22" spans="1:7" ht="15" customHeight="1" x14ac:dyDescent="0.35">
      <c r="A22" s="3" t="s">
        <v>374</v>
      </c>
      <c r="B22" s="3" t="s">
        <v>375</v>
      </c>
      <c r="C22" s="3" t="s">
        <v>124</v>
      </c>
      <c r="D22" s="4">
        <v>2</v>
      </c>
      <c r="E22" s="3" t="s">
        <v>376</v>
      </c>
      <c r="F22" s="3" t="s">
        <v>64</v>
      </c>
      <c r="G22" s="3" t="s">
        <v>377</v>
      </c>
    </row>
    <row r="23" spans="1:7" ht="15" customHeight="1" x14ac:dyDescent="0.35">
      <c r="A23" s="3" t="s">
        <v>374</v>
      </c>
      <c r="B23" s="3" t="s">
        <v>375</v>
      </c>
      <c r="C23" s="3" t="s">
        <v>128</v>
      </c>
      <c r="D23" s="4">
        <v>2</v>
      </c>
      <c r="E23" s="3" t="s">
        <v>376</v>
      </c>
      <c r="F23" s="3" t="s">
        <v>64</v>
      </c>
      <c r="G23" s="3" t="s">
        <v>377</v>
      </c>
    </row>
    <row r="24" spans="1:7" ht="15" customHeight="1" x14ac:dyDescent="0.35">
      <c r="A24" s="3" t="s">
        <v>374</v>
      </c>
      <c r="B24" s="3" t="s">
        <v>375</v>
      </c>
      <c r="C24" s="3" t="s">
        <v>132</v>
      </c>
      <c r="D24" s="4">
        <v>2</v>
      </c>
      <c r="E24" s="3" t="s">
        <v>376</v>
      </c>
      <c r="F24" s="3" t="s">
        <v>64</v>
      </c>
      <c r="G24" s="3" t="s">
        <v>377</v>
      </c>
    </row>
    <row r="25" spans="1:7" ht="15" customHeight="1" x14ac:dyDescent="0.35">
      <c r="A25" s="3" t="s">
        <v>374</v>
      </c>
      <c r="B25" s="3" t="s">
        <v>375</v>
      </c>
      <c r="C25" s="3" t="s">
        <v>135</v>
      </c>
      <c r="D25" s="4">
        <v>2</v>
      </c>
      <c r="E25" s="3" t="s">
        <v>376</v>
      </c>
      <c r="F25" s="3" t="s">
        <v>64</v>
      </c>
      <c r="G25" s="3" t="s">
        <v>377</v>
      </c>
    </row>
    <row r="26" spans="1:7" ht="15" customHeight="1" x14ac:dyDescent="0.35">
      <c r="A26" s="3" t="s">
        <v>374</v>
      </c>
      <c r="B26" s="3" t="s">
        <v>375</v>
      </c>
      <c r="C26" s="3" t="s">
        <v>138</v>
      </c>
      <c r="D26" s="4">
        <v>2</v>
      </c>
      <c r="E26" s="3" t="s">
        <v>376</v>
      </c>
      <c r="F26" s="3" t="s">
        <v>64</v>
      </c>
      <c r="G26" s="3" t="s">
        <v>377</v>
      </c>
    </row>
    <row r="27" spans="1:7" ht="15" customHeight="1" x14ac:dyDescent="0.35">
      <c r="A27" s="3" t="s">
        <v>374</v>
      </c>
      <c r="B27" s="3" t="s">
        <v>375</v>
      </c>
      <c r="C27" s="3" t="s">
        <v>141</v>
      </c>
      <c r="D27" s="4">
        <v>2</v>
      </c>
      <c r="E27" s="3" t="s">
        <v>376</v>
      </c>
      <c r="F27" s="3" t="s">
        <v>64</v>
      </c>
      <c r="G27" s="3" t="s">
        <v>377</v>
      </c>
    </row>
    <row r="28" spans="1:7" ht="15" customHeight="1" x14ac:dyDescent="0.35">
      <c r="A28" s="3" t="s">
        <v>374</v>
      </c>
      <c r="B28" s="3" t="s">
        <v>375</v>
      </c>
      <c r="C28" s="3" t="s">
        <v>144</v>
      </c>
      <c r="D28" s="4">
        <v>2</v>
      </c>
      <c r="E28" s="3" t="s">
        <v>376</v>
      </c>
      <c r="F28" s="3" t="s">
        <v>64</v>
      </c>
      <c r="G28" s="3" t="s">
        <v>377</v>
      </c>
    </row>
    <row r="29" spans="1:7" ht="15" customHeight="1" x14ac:dyDescent="0.35">
      <c r="A29" s="3" t="s">
        <v>374</v>
      </c>
      <c r="B29" s="3" t="s">
        <v>375</v>
      </c>
      <c r="C29" s="3" t="s">
        <v>149</v>
      </c>
      <c r="D29" s="4">
        <v>2</v>
      </c>
      <c r="E29" s="3" t="s">
        <v>376</v>
      </c>
      <c r="F29" s="3" t="s">
        <v>64</v>
      </c>
      <c r="G29" s="3" t="s">
        <v>377</v>
      </c>
    </row>
    <row r="30" spans="1:7" ht="15" customHeight="1" x14ac:dyDescent="0.35">
      <c r="A30" s="3" t="s">
        <v>374</v>
      </c>
      <c r="B30" s="3" t="s">
        <v>375</v>
      </c>
      <c r="C30" s="3" t="s">
        <v>152</v>
      </c>
      <c r="D30" s="4">
        <v>2</v>
      </c>
      <c r="E30" s="3" t="s">
        <v>376</v>
      </c>
      <c r="F30" s="3" t="s">
        <v>64</v>
      </c>
      <c r="G30" s="3" t="s">
        <v>377</v>
      </c>
    </row>
    <row r="31" spans="1:7" ht="15" customHeight="1" x14ac:dyDescent="0.35">
      <c r="A31" s="3" t="s">
        <v>374</v>
      </c>
      <c r="B31" s="3" t="s">
        <v>375</v>
      </c>
      <c r="C31" s="3" t="s">
        <v>155</v>
      </c>
      <c r="D31" s="4">
        <v>2</v>
      </c>
      <c r="E31" s="3" t="s">
        <v>376</v>
      </c>
      <c r="F31" s="3" t="s">
        <v>64</v>
      </c>
      <c r="G31" s="3" t="s">
        <v>377</v>
      </c>
    </row>
    <row r="32" spans="1:7" ht="15" customHeight="1" x14ac:dyDescent="0.35">
      <c r="A32" s="3" t="s">
        <v>374</v>
      </c>
      <c r="B32" s="3" t="s">
        <v>375</v>
      </c>
      <c r="C32" s="3" t="s">
        <v>158</v>
      </c>
      <c r="D32" s="4">
        <v>2</v>
      </c>
      <c r="E32" s="3" t="s">
        <v>376</v>
      </c>
      <c r="F32" s="3" t="s">
        <v>64</v>
      </c>
      <c r="G32" s="3" t="s">
        <v>377</v>
      </c>
    </row>
    <row r="33" spans="1:7" ht="15" customHeight="1" x14ac:dyDescent="0.35">
      <c r="A33" s="3" t="s">
        <v>374</v>
      </c>
      <c r="B33" s="3" t="s">
        <v>375</v>
      </c>
      <c r="C33" s="3" t="s">
        <v>160</v>
      </c>
      <c r="D33" s="4">
        <v>2</v>
      </c>
      <c r="E33" s="3" t="s">
        <v>376</v>
      </c>
      <c r="F33" s="3" t="s">
        <v>64</v>
      </c>
      <c r="G33" s="3" t="s">
        <v>377</v>
      </c>
    </row>
    <row r="34" spans="1:7" ht="15" customHeight="1" x14ac:dyDescent="0.35">
      <c r="A34" s="3" t="s">
        <v>374</v>
      </c>
      <c r="B34" s="3" t="s">
        <v>375</v>
      </c>
      <c r="C34" s="3" t="s">
        <v>162</v>
      </c>
      <c r="D34" s="4">
        <v>2</v>
      </c>
      <c r="E34" s="3" t="s">
        <v>376</v>
      </c>
      <c r="F34" s="3" t="s">
        <v>64</v>
      </c>
      <c r="G34" s="3" t="s">
        <v>377</v>
      </c>
    </row>
    <row r="35" spans="1:7" ht="15" customHeight="1" x14ac:dyDescent="0.35">
      <c r="A35" s="3" t="s">
        <v>374</v>
      </c>
      <c r="B35" s="3" t="s">
        <v>375</v>
      </c>
      <c r="C35" s="3" t="s">
        <v>165</v>
      </c>
      <c r="D35" s="4">
        <v>2</v>
      </c>
      <c r="E35" s="3" t="s">
        <v>376</v>
      </c>
      <c r="F35" s="3" t="s">
        <v>64</v>
      </c>
      <c r="G35" s="3" t="s">
        <v>377</v>
      </c>
    </row>
    <row r="36" spans="1:7" ht="15" customHeight="1" x14ac:dyDescent="0.35">
      <c r="A36" s="3" t="s">
        <v>374</v>
      </c>
      <c r="B36" s="3" t="s">
        <v>375</v>
      </c>
      <c r="C36" s="3" t="s">
        <v>169</v>
      </c>
      <c r="D36" s="4">
        <v>2</v>
      </c>
      <c r="E36" s="3" t="s">
        <v>376</v>
      </c>
      <c r="F36" s="3" t="s">
        <v>64</v>
      </c>
      <c r="G36" s="3" t="s">
        <v>377</v>
      </c>
    </row>
    <row r="37" spans="1:7" ht="15" customHeight="1" x14ac:dyDescent="0.35">
      <c r="A37" s="3" t="s">
        <v>374</v>
      </c>
      <c r="B37" s="3" t="s">
        <v>375</v>
      </c>
      <c r="C37" s="3" t="s">
        <v>172</v>
      </c>
      <c r="D37" s="4">
        <v>2</v>
      </c>
      <c r="E37" s="3" t="s">
        <v>376</v>
      </c>
      <c r="F37" s="3" t="s">
        <v>64</v>
      </c>
      <c r="G37" s="3" t="s">
        <v>377</v>
      </c>
    </row>
    <row r="38" spans="1:7" ht="15" customHeight="1" x14ac:dyDescent="0.35">
      <c r="A38" s="3" t="s">
        <v>374</v>
      </c>
      <c r="B38" s="3" t="s">
        <v>375</v>
      </c>
      <c r="C38" s="3" t="s">
        <v>175</v>
      </c>
      <c r="D38" s="4">
        <v>2</v>
      </c>
      <c r="E38" s="3" t="s">
        <v>376</v>
      </c>
      <c r="F38" s="3" t="s">
        <v>64</v>
      </c>
      <c r="G38" s="3" t="s">
        <v>377</v>
      </c>
    </row>
    <row r="39" spans="1:7" ht="15" customHeight="1" x14ac:dyDescent="0.35">
      <c r="A39" s="3" t="s">
        <v>374</v>
      </c>
      <c r="B39" s="3" t="s">
        <v>375</v>
      </c>
      <c r="C39" s="3" t="s">
        <v>180</v>
      </c>
      <c r="D39" s="4">
        <v>2</v>
      </c>
      <c r="E39" s="3" t="s">
        <v>376</v>
      </c>
      <c r="F39" s="3" t="s">
        <v>64</v>
      </c>
      <c r="G39" s="3" t="s">
        <v>377</v>
      </c>
    </row>
    <row r="40" spans="1:7" ht="15" customHeight="1" x14ac:dyDescent="0.35">
      <c r="A40" s="3" t="s">
        <v>374</v>
      </c>
      <c r="B40" s="3" t="s">
        <v>375</v>
      </c>
      <c r="C40" s="3" t="s">
        <v>183</v>
      </c>
      <c r="D40" s="4">
        <v>2</v>
      </c>
      <c r="E40" s="3" t="s">
        <v>376</v>
      </c>
      <c r="F40" s="3" t="s">
        <v>64</v>
      </c>
      <c r="G40" s="3" t="s">
        <v>377</v>
      </c>
    </row>
    <row r="41" spans="1:7" ht="15" customHeight="1" x14ac:dyDescent="0.35">
      <c r="A41" s="3" t="s">
        <v>374</v>
      </c>
      <c r="B41" s="3" t="s">
        <v>375</v>
      </c>
      <c r="C41" s="3" t="s">
        <v>186</v>
      </c>
      <c r="D41" s="4">
        <v>2</v>
      </c>
      <c r="E41" s="3" t="s">
        <v>376</v>
      </c>
      <c r="F41" s="3" t="s">
        <v>64</v>
      </c>
      <c r="G41" s="3" t="s">
        <v>377</v>
      </c>
    </row>
    <row r="42" spans="1:7" ht="15" customHeight="1" x14ac:dyDescent="0.35">
      <c r="A42" s="3" t="s">
        <v>374</v>
      </c>
      <c r="B42" s="3" t="s">
        <v>375</v>
      </c>
      <c r="C42" s="3" t="s">
        <v>189</v>
      </c>
      <c r="D42" s="4">
        <v>2</v>
      </c>
      <c r="E42" s="3" t="s">
        <v>376</v>
      </c>
      <c r="F42" s="3" t="s">
        <v>64</v>
      </c>
      <c r="G42" s="3" t="s">
        <v>377</v>
      </c>
    </row>
    <row r="43" spans="1:7" ht="15" customHeight="1" x14ac:dyDescent="0.35">
      <c r="A43" s="3" t="s">
        <v>374</v>
      </c>
      <c r="B43" s="3" t="s">
        <v>375</v>
      </c>
      <c r="C43" s="3" t="s">
        <v>192</v>
      </c>
      <c r="D43" s="4">
        <v>2</v>
      </c>
      <c r="E43" s="3" t="s">
        <v>376</v>
      </c>
      <c r="F43" s="3" t="s">
        <v>64</v>
      </c>
      <c r="G43" s="3" t="s">
        <v>377</v>
      </c>
    </row>
    <row r="44" spans="1:7" ht="15" customHeight="1" x14ac:dyDescent="0.35">
      <c r="A44" s="3" t="s">
        <v>374</v>
      </c>
      <c r="B44" s="3" t="s">
        <v>375</v>
      </c>
      <c r="C44" s="3" t="s">
        <v>195</v>
      </c>
      <c r="D44" s="4">
        <v>2</v>
      </c>
      <c r="E44" s="3" t="s">
        <v>376</v>
      </c>
      <c r="F44" s="3" t="s">
        <v>64</v>
      </c>
      <c r="G44" s="3" t="s">
        <v>377</v>
      </c>
    </row>
    <row r="45" spans="1:7" ht="15" customHeight="1" x14ac:dyDescent="0.35">
      <c r="A45" s="3" t="s">
        <v>374</v>
      </c>
      <c r="B45" s="3" t="s">
        <v>375</v>
      </c>
      <c r="C45" s="3" t="s">
        <v>199</v>
      </c>
      <c r="D45" s="4">
        <v>2</v>
      </c>
      <c r="E45" s="3" t="s">
        <v>376</v>
      </c>
      <c r="F45" s="3" t="s">
        <v>64</v>
      </c>
      <c r="G45" s="3" t="s">
        <v>377</v>
      </c>
    </row>
    <row r="46" spans="1:7" ht="15" customHeight="1" x14ac:dyDescent="0.35">
      <c r="A46" s="3" t="s">
        <v>374</v>
      </c>
      <c r="B46" s="3" t="s">
        <v>375</v>
      </c>
      <c r="C46" s="3" t="s">
        <v>202</v>
      </c>
      <c r="D46" s="4">
        <v>2</v>
      </c>
      <c r="E46" s="3" t="s">
        <v>376</v>
      </c>
      <c r="F46" s="3" t="s">
        <v>64</v>
      </c>
      <c r="G46" s="3" t="s">
        <v>377</v>
      </c>
    </row>
    <row r="47" spans="1:7" ht="15" customHeight="1" x14ac:dyDescent="0.35">
      <c r="A47" s="3" t="s">
        <v>374</v>
      </c>
      <c r="B47" s="3" t="s">
        <v>375</v>
      </c>
      <c r="C47" s="3" t="s">
        <v>209</v>
      </c>
      <c r="D47" s="4">
        <v>2</v>
      </c>
      <c r="E47" s="3" t="s">
        <v>376</v>
      </c>
      <c r="F47" s="3" t="s">
        <v>207</v>
      </c>
      <c r="G47" s="3" t="s">
        <v>377</v>
      </c>
    </row>
    <row r="48" spans="1:7" ht="15" customHeight="1" x14ac:dyDescent="0.35">
      <c r="A48" s="3" t="s">
        <v>374</v>
      </c>
      <c r="B48" s="3" t="s">
        <v>375</v>
      </c>
      <c r="C48" s="3" t="s">
        <v>213</v>
      </c>
      <c r="D48" s="4">
        <v>2</v>
      </c>
      <c r="E48" s="3" t="s">
        <v>376</v>
      </c>
      <c r="F48" s="3" t="s">
        <v>207</v>
      </c>
      <c r="G48" s="3" t="s">
        <v>377</v>
      </c>
    </row>
    <row r="49" spans="1:7" ht="15" customHeight="1" x14ac:dyDescent="0.35">
      <c r="A49" s="3" t="s">
        <v>374</v>
      </c>
      <c r="B49" s="3" t="s">
        <v>375</v>
      </c>
      <c r="C49" s="3" t="s">
        <v>216</v>
      </c>
      <c r="D49" s="4">
        <v>2</v>
      </c>
      <c r="E49" s="3" t="s">
        <v>376</v>
      </c>
      <c r="F49" s="3" t="s">
        <v>207</v>
      </c>
      <c r="G49" s="3" t="s">
        <v>377</v>
      </c>
    </row>
    <row r="50" spans="1:7" ht="15" customHeight="1" x14ac:dyDescent="0.35">
      <c r="A50" s="3" t="s">
        <v>374</v>
      </c>
      <c r="B50" s="3" t="s">
        <v>375</v>
      </c>
      <c r="C50" s="3" t="s">
        <v>221</v>
      </c>
      <c r="D50" s="4">
        <v>2</v>
      </c>
      <c r="E50" s="3" t="s">
        <v>376</v>
      </c>
      <c r="F50" s="3" t="s">
        <v>207</v>
      </c>
      <c r="G50" s="3" t="s">
        <v>377</v>
      </c>
    </row>
    <row r="51" spans="1:7" ht="15" customHeight="1" x14ac:dyDescent="0.35">
      <c r="A51" s="3" t="s">
        <v>374</v>
      </c>
      <c r="B51" s="3" t="s">
        <v>375</v>
      </c>
      <c r="C51" s="3" t="s">
        <v>226</v>
      </c>
      <c r="D51" s="4">
        <v>2</v>
      </c>
      <c r="E51" s="3" t="s">
        <v>376</v>
      </c>
      <c r="F51" s="3" t="s">
        <v>207</v>
      </c>
      <c r="G51" s="3" t="s">
        <v>377</v>
      </c>
    </row>
    <row r="52" spans="1:7" ht="15" customHeight="1" x14ac:dyDescent="0.35">
      <c r="A52" s="3" t="s">
        <v>374</v>
      </c>
      <c r="B52" s="3" t="s">
        <v>375</v>
      </c>
      <c r="C52" s="3" t="s">
        <v>230</v>
      </c>
      <c r="D52" s="4">
        <v>2</v>
      </c>
      <c r="E52" s="3" t="s">
        <v>376</v>
      </c>
      <c r="F52" s="3" t="s">
        <v>207</v>
      </c>
      <c r="G52" s="3" t="s">
        <v>377</v>
      </c>
    </row>
    <row r="53" spans="1:7" ht="15" customHeight="1" x14ac:dyDescent="0.35">
      <c r="A53" s="3" t="s">
        <v>374</v>
      </c>
      <c r="B53" s="3" t="s">
        <v>375</v>
      </c>
      <c r="C53" s="3" t="s">
        <v>234</v>
      </c>
      <c r="D53" s="4">
        <v>2</v>
      </c>
      <c r="E53" s="3" t="s">
        <v>376</v>
      </c>
      <c r="F53" s="3" t="s">
        <v>207</v>
      </c>
      <c r="G53" s="3" t="s">
        <v>377</v>
      </c>
    </row>
    <row r="54" spans="1:7" ht="15" customHeight="1" x14ac:dyDescent="0.35">
      <c r="A54" s="3" t="s">
        <v>374</v>
      </c>
      <c r="B54" s="3" t="s">
        <v>375</v>
      </c>
      <c r="C54" s="3" t="s">
        <v>238</v>
      </c>
      <c r="D54" s="4">
        <v>2</v>
      </c>
      <c r="E54" s="3" t="s">
        <v>376</v>
      </c>
      <c r="F54" s="3" t="s">
        <v>207</v>
      </c>
      <c r="G54" s="3" t="s">
        <v>377</v>
      </c>
    </row>
    <row r="55" spans="1:7" ht="15" customHeight="1" x14ac:dyDescent="0.35">
      <c r="A55" s="3" t="s">
        <v>374</v>
      </c>
      <c r="B55" s="3" t="s">
        <v>375</v>
      </c>
      <c r="C55" s="3" t="s">
        <v>242</v>
      </c>
      <c r="D55" s="4">
        <v>2</v>
      </c>
      <c r="E55" s="3" t="s">
        <v>376</v>
      </c>
      <c r="F55" s="3" t="s">
        <v>207</v>
      </c>
      <c r="G55" s="3" t="s">
        <v>377</v>
      </c>
    </row>
    <row r="56" spans="1:7" ht="15" customHeight="1" x14ac:dyDescent="0.35">
      <c r="A56" s="3" t="s">
        <v>374</v>
      </c>
      <c r="B56" s="3" t="s">
        <v>375</v>
      </c>
      <c r="C56" s="3" t="s">
        <v>245</v>
      </c>
      <c r="D56" s="4">
        <v>2</v>
      </c>
      <c r="E56" s="3" t="s">
        <v>376</v>
      </c>
      <c r="F56" s="3" t="s">
        <v>207</v>
      </c>
      <c r="G56" s="3" t="s">
        <v>377</v>
      </c>
    </row>
    <row r="57" spans="1:7" ht="15" customHeight="1" x14ac:dyDescent="0.35">
      <c r="A57" s="3" t="s">
        <v>374</v>
      </c>
      <c r="B57" s="3" t="s">
        <v>375</v>
      </c>
      <c r="C57" s="3" t="s">
        <v>248</v>
      </c>
      <c r="D57" s="4">
        <v>2</v>
      </c>
      <c r="E57" s="3" t="s">
        <v>376</v>
      </c>
      <c r="F57" s="3" t="s">
        <v>207</v>
      </c>
      <c r="G57" s="3" t="s">
        <v>377</v>
      </c>
    </row>
    <row r="58" spans="1:7" ht="15" customHeight="1" x14ac:dyDescent="0.35">
      <c r="A58" s="3" t="s">
        <v>374</v>
      </c>
      <c r="B58" s="3" t="s">
        <v>375</v>
      </c>
      <c r="C58" s="3" t="s">
        <v>251</v>
      </c>
      <c r="D58" s="4">
        <v>2</v>
      </c>
      <c r="E58" s="3" t="s">
        <v>376</v>
      </c>
      <c r="F58" s="3" t="s">
        <v>207</v>
      </c>
      <c r="G58" s="3" t="s">
        <v>377</v>
      </c>
    </row>
    <row r="59" spans="1:7" ht="15" customHeight="1" x14ac:dyDescent="0.35">
      <c r="A59" s="3" t="s">
        <v>374</v>
      </c>
      <c r="B59" s="3" t="s">
        <v>375</v>
      </c>
      <c r="C59" s="3" t="s">
        <v>254</v>
      </c>
      <c r="D59" s="4">
        <v>2</v>
      </c>
      <c r="E59" s="3" t="s">
        <v>376</v>
      </c>
      <c r="F59" s="3" t="s">
        <v>207</v>
      </c>
      <c r="G59" s="3" t="s">
        <v>377</v>
      </c>
    </row>
    <row r="60" spans="1:7" ht="15" customHeight="1" x14ac:dyDescent="0.35">
      <c r="A60" s="3" t="s">
        <v>374</v>
      </c>
      <c r="B60" s="3" t="s">
        <v>375</v>
      </c>
      <c r="C60" s="3" t="s">
        <v>258</v>
      </c>
      <c r="D60" s="4">
        <v>2</v>
      </c>
      <c r="E60" s="3" t="s">
        <v>376</v>
      </c>
      <c r="F60" s="3" t="s">
        <v>207</v>
      </c>
      <c r="G60" s="3" t="s">
        <v>377</v>
      </c>
    </row>
    <row r="61" spans="1:7" ht="15" customHeight="1" x14ac:dyDescent="0.35">
      <c r="A61" s="3" t="s">
        <v>374</v>
      </c>
      <c r="B61" s="3" t="s">
        <v>375</v>
      </c>
      <c r="C61" s="3" t="s">
        <v>260</v>
      </c>
      <c r="D61" s="4">
        <v>2</v>
      </c>
      <c r="E61" s="3" t="s">
        <v>376</v>
      </c>
      <c r="F61" s="3" t="s">
        <v>207</v>
      </c>
      <c r="G61" s="3" t="s">
        <v>377</v>
      </c>
    </row>
    <row r="62" spans="1:7" ht="15" customHeight="1" x14ac:dyDescent="0.35">
      <c r="A62" s="3" t="s">
        <v>374</v>
      </c>
      <c r="B62" s="3" t="s">
        <v>375</v>
      </c>
      <c r="C62" s="3" t="s">
        <v>263</v>
      </c>
      <c r="D62" s="4">
        <v>2</v>
      </c>
      <c r="E62" s="3" t="s">
        <v>376</v>
      </c>
      <c r="F62" s="3" t="s">
        <v>207</v>
      </c>
      <c r="G62" s="3" t="s">
        <v>377</v>
      </c>
    </row>
    <row r="63" spans="1:7" ht="15" customHeight="1" x14ac:dyDescent="0.35">
      <c r="A63" s="3" t="s">
        <v>374</v>
      </c>
      <c r="B63" s="3" t="s">
        <v>375</v>
      </c>
      <c r="C63" s="3" t="s">
        <v>266</v>
      </c>
      <c r="D63" s="4">
        <v>2</v>
      </c>
      <c r="E63" s="3" t="s">
        <v>376</v>
      </c>
      <c r="F63" s="3" t="s">
        <v>207</v>
      </c>
      <c r="G63" s="3" t="s">
        <v>377</v>
      </c>
    </row>
    <row r="64" spans="1:7" ht="15" customHeight="1" x14ac:dyDescent="0.35">
      <c r="A64" s="3" t="s">
        <v>374</v>
      </c>
      <c r="B64" s="3" t="s">
        <v>375</v>
      </c>
      <c r="C64" s="3" t="s">
        <v>271</v>
      </c>
      <c r="D64" s="4">
        <v>2</v>
      </c>
      <c r="E64" s="3" t="s">
        <v>376</v>
      </c>
      <c r="F64" s="3" t="s">
        <v>207</v>
      </c>
      <c r="G64" s="3" t="s">
        <v>377</v>
      </c>
    </row>
    <row r="65" spans="1:7" ht="15" customHeight="1" x14ac:dyDescent="0.35">
      <c r="A65" s="3" t="s">
        <v>374</v>
      </c>
      <c r="B65" s="3" t="s">
        <v>375</v>
      </c>
      <c r="C65" s="3" t="s">
        <v>274</v>
      </c>
      <c r="D65" s="4">
        <v>2</v>
      </c>
      <c r="E65" s="3" t="s">
        <v>376</v>
      </c>
      <c r="F65" s="3" t="s">
        <v>207</v>
      </c>
      <c r="G65" s="3" t="s">
        <v>377</v>
      </c>
    </row>
    <row r="66" spans="1:7" ht="15" customHeight="1" x14ac:dyDescent="0.35">
      <c r="A66" s="3" t="s">
        <v>374</v>
      </c>
      <c r="B66" s="3" t="s">
        <v>375</v>
      </c>
      <c r="C66" s="3" t="s">
        <v>279</v>
      </c>
      <c r="D66" s="4">
        <v>2</v>
      </c>
      <c r="E66" s="3" t="s">
        <v>376</v>
      </c>
      <c r="F66" s="3" t="s">
        <v>207</v>
      </c>
      <c r="G66" s="3" t="s">
        <v>377</v>
      </c>
    </row>
    <row r="67" spans="1:7" ht="15" customHeight="1" x14ac:dyDescent="0.35">
      <c r="A67" s="3" t="s">
        <v>374</v>
      </c>
      <c r="B67" s="3" t="s">
        <v>375</v>
      </c>
      <c r="C67" s="3" t="s">
        <v>283</v>
      </c>
      <c r="D67" s="4">
        <v>2</v>
      </c>
      <c r="E67" s="3" t="s">
        <v>376</v>
      </c>
      <c r="F67" s="3" t="s">
        <v>207</v>
      </c>
      <c r="G67" s="3" t="s">
        <v>377</v>
      </c>
    </row>
    <row r="68" spans="1:7" ht="15" customHeight="1" x14ac:dyDescent="0.35">
      <c r="A68" s="3" t="s">
        <v>374</v>
      </c>
      <c r="B68" s="3" t="s">
        <v>375</v>
      </c>
      <c r="C68" s="3" t="s">
        <v>286</v>
      </c>
      <c r="D68" s="4">
        <v>2</v>
      </c>
      <c r="E68" s="3" t="s">
        <v>376</v>
      </c>
      <c r="F68" s="3" t="s">
        <v>207</v>
      </c>
      <c r="G68" s="3" t="s">
        <v>377</v>
      </c>
    </row>
    <row r="69" spans="1:7" ht="15" customHeight="1" x14ac:dyDescent="0.35">
      <c r="A69" s="3" t="s">
        <v>374</v>
      </c>
      <c r="B69" s="3" t="s">
        <v>375</v>
      </c>
      <c r="C69" s="3" t="s">
        <v>291</v>
      </c>
      <c r="D69" s="4">
        <v>2</v>
      </c>
      <c r="E69" s="3" t="s">
        <v>376</v>
      </c>
      <c r="F69" s="3" t="s">
        <v>207</v>
      </c>
      <c r="G69" s="3" t="s">
        <v>377</v>
      </c>
    </row>
    <row r="70" spans="1:7" ht="15" customHeight="1" x14ac:dyDescent="0.35">
      <c r="A70" s="3" t="s">
        <v>374</v>
      </c>
      <c r="B70" s="3" t="s">
        <v>375</v>
      </c>
      <c r="C70" s="3" t="s">
        <v>294</v>
      </c>
      <c r="D70" s="4">
        <v>2</v>
      </c>
      <c r="E70" s="3" t="s">
        <v>376</v>
      </c>
      <c r="F70" s="3" t="s">
        <v>207</v>
      </c>
      <c r="G70" s="3" t="s">
        <v>377</v>
      </c>
    </row>
    <row r="71" spans="1:7" ht="15" customHeight="1" x14ac:dyDescent="0.35">
      <c r="A71" s="3" t="s">
        <v>374</v>
      </c>
      <c r="B71" s="3" t="s">
        <v>375</v>
      </c>
      <c r="C71" s="3" t="s">
        <v>297</v>
      </c>
      <c r="D71" s="4">
        <v>2</v>
      </c>
      <c r="E71" s="3" t="s">
        <v>376</v>
      </c>
      <c r="F71" s="3" t="s">
        <v>207</v>
      </c>
      <c r="G71" s="3" t="s">
        <v>377</v>
      </c>
    </row>
    <row r="72" spans="1:7" ht="15" customHeight="1" x14ac:dyDescent="0.35">
      <c r="A72" s="3" t="s">
        <v>374</v>
      </c>
      <c r="B72" s="3" t="s">
        <v>375</v>
      </c>
      <c r="C72" s="3" t="s">
        <v>300</v>
      </c>
      <c r="D72" s="4">
        <v>2</v>
      </c>
      <c r="E72" s="3" t="s">
        <v>376</v>
      </c>
      <c r="F72" s="3" t="s">
        <v>207</v>
      </c>
      <c r="G72" s="3" t="s">
        <v>377</v>
      </c>
    </row>
    <row r="73" spans="1:7" ht="15" customHeight="1" x14ac:dyDescent="0.35">
      <c r="A73" s="3" t="s">
        <v>374</v>
      </c>
      <c r="B73" s="3" t="s">
        <v>375</v>
      </c>
      <c r="C73" s="3" t="s">
        <v>303</v>
      </c>
      <c r="D73" s="4">
        <v>2</v>
      </c>
      <c r="E73" s="3" t="s">
        <v>376</v>
      </c>
      <c r="F73" s="3" t="s">
        <v>207</v>
      </c>
      <c r="G73" s="3" t="s">
        <v>377</v>
      </c>
    </row>
    <row r="74" spans="1:7" ht="15" customHeight="1" x14ac:dyDescent="0.35">
      <c r="A74" s="3" t="s">
        <v>374</v>
      </c>
      <c r="B74" s="3" t="s">
        <v>375</v>
      </c>
      <c r="C74" s="3" t="s">
        <v>307</v>
      </c>
      <c r="D74" s="4">
        <v>2</v>
      </c>
      <c r="E74" s="3" t="s">
        <v>376</v>
      </c>
      <c r="F74" s="3" t="s">
        <v>207</v>
      </c>
      <c r="G74" s="3" t="s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zoomScale="90" zoomScaleNormal="90" workbookViewId="0">
      <selection activeCell="C19" sqref="C19"/>
    </sheetView>
  </sheetViews>
  <sheetFormatPr defaultRowHeight="14.4" x14ac:dyDescent="0.3"/>
  <cols>
    <col min="1" max="1" width="22" customWidth="1"/>
    <col min="2" max="3" width="35" customWidth="1"/>
    <col min="4" max="4" width="45" customWidth="1"/>
    <col min="5" max="5" width="35" customWidth="1"/>
    <col min="6" max="6" width="15" customWidth="1"/>
    <col min="7" max="7" width="20" customWidth="1"/>
    <col min="8" max="8" width="15" customWidth="1"/>
  </cols>
  <sheetData>
    <row r="1" spans="1:8" ht="23.4" customHeight="1" x14ac:dyDescent="0.45">
      <c r="A1" s="9" t="s">
        <v>378</v>
      </c>
    </row>
    <row r="3" spans="1:8" x14ac:dyDescent="0.3">
      <c r="A3" s="10" t="s">
        <v>379</v>
      </c>
      <c r="B3" s="10" t="s">
        <v>380</v>
      </c>
      <c r="C3" s="10" t="s">
        <v>381</v>
      </c>
      <c r="D3" s="10" t="s">
        <v>382</v>
      </c>
      <c r="E3" s="10" t="s">
        <v>383</v>
      </c>
      <c r="F3" s="10" t="s">
        <v>384</v>
      </c>
      <c r="G3" s="10" t="s">
        <v>385</v>
      </c>
      <c r="H3" s="10" t="s">
        <v>386</v>
      </c>
    </row>
    <row r="4" spans="1:8" x14ac:dyDescent="0.3">
      <c r="A4" t="s">
        <v>387</v>
      </c>
      <c r="B4" t="s">
        <v>388</v>
      </c>
      <c r="C4" t="s">
        <v>389</v>
      </c>
      <c r="D4" t="s">
        <v>390</v>
      </c>
      <c r="E4" t="s">
        <v>391</v>
      </c>
      <c r="F4" s="11" t="s">
        <v>392</v>
      </c>
      <c r="G4" t="s">
        <v>393</v>
      </c>
      <c r="H4" t="s">
        <v>394</v>
      </c>
    </row>
    <row r="5" spans="1:8" x14ac:dyDescent="0.3">
      <c r="A5" t="s">
        <v>395</v>
      </c>
      <c r="B5" t="s">
        <v>396</v>
      </c>
      <c r="C5" t="s">
        <v>397</v>
      </c>
      <c r="D5" t="s">
        <v>398</v>
      </c>
      <c r="E5" t="s">
        <v>399</v>
      </c>
      <c r="F5" s="11" t="s">
        <v>392</v>
      </c>
      <c r="G5" t="s">
        <v>400</v>
      </c>
      <c r="H5" t="s">
        <v>401</v>
      </c>
    </row>
    <row r="6" spans="1:8" x14ac:dyDescent="0.3">
      <c r="A6" t="s">
        <v>402</v>
      </c>
      <c r="B6" t="s">
        <v>403</v>
      </c>
      <c r="C6" t="s">
        <v>404</v>
      </c>
      <c r="D6" t="s">
        <v>405</v>
      </c>
      <c r="E6" t="s">
        <v>406</v>
      </c>
      <c r="F6" s="11" t="s">
        <v>392</v>
      </c>
      <c r="G6" t="s">
        <v>407</v>
      </c>
      <c r="H6" t="s">
        <v>394</v>
      </c>
    </row>
    <row r="7" spans="1:8" x14ac:dyDescent="0.3">
      <c r="A7" t="s">
        <v>408</v>
      </c>
      <c r="B7" t="s">
        <v>409</v>
      </c>
      <c r="C7" t="s">
        <v>410</v>
      </c>
      <c r="D7" t="s">
        <v>411</v>
      </c>
      <c r="E7" t="s">
        <v>412</v>
      </c>
      <c r="F7" s="12" t="s">
        <v>51</v>
      </c>
      <c r="G7" t="s">
        <v>393</v>
      </c>
      <c r="H7" t="s">
        <v>394</v>
      </c>
    </row>
    <row r="8" spans="1:8" x14ac:dyDescent="0.3">
      <c r="A8" t="s">
        <v>413</v>
      </c>
      <c r="B8" t="s">
        <v>414</v>
      </c>
      <c r="C8" t="s">
        <v>415</v>
      </c>
      <c r="D8" t="s">
        <v>416</v>
      </c>
      <c r="E8" t="s">
        <v>417</v>
      </c>
      <c r="F8" s="11" t="s">
        <v>392</v>
      </c>
      <c r="G8" t="s">
        <v>418</v>
      </c>
      <c r="H8" t="s">
        <v>401</v>
      </c>
    </row>
    <row r="9" spans="1:8" x14ac:dyDescent="0.3">
      <c r="A9" t="s">
        <v>419</v>
      </c>
      <c r="B9" t="s">
        <v>420</v>
      </c>
      <c r="C9" t="s">
        <v>421</v>
      </c>
      <c r="D9" t="s">
        <v>422</v>
      </c>
      <c r="E9" t="s">
        <v>423</v>
      </c>
      <c r="F9" s="12" t="s">
        <v>51</v>
      </c>
      <c r="G9" t="s">
        <v>424</v>
      </c>
      <c r="H9" t="s">
        <v>394</v>
      </c>
    </row>
    <row r="10" spans="1:8" x14ac:dyDescent="0.3">
      <c r="A10" t="s">
        <v>425</v>
      </c>
      <c r="B10" t="s">
        <v>426</v>
      </c>
      <c r="C10" t="s">
        <v>427</v>
      </c>
      <c r="D10" t="s">
        <v>428</v>
      </c>
      <c r="E10" t="s">
        <v>429</v>
      </c>
      <c r="F10" s="11" t="s">
        <v>392</v>
      </c>
      <c r="G10" t="s">
        <v>393</v>
      </c>
      <c r="H10" t="s">
        <v>394</v>
      </c>
    </row>
    <row r="11" spans="1:8" x14ac:dyDescent="0.3">
      <c r="A11" t="s">
        <v>430</v>
      </c>
      <c r="B11" t="s">
        <v>431</v>
      </c>
      <c r="C11" t="s">
        <v>432</v>
      </c>
      <c r="D11" t="s">
        <v>433</v>
      </c>
      <c r="E11" t="s">
        <v>434</v>
      </c>
      <c r="F11" s="10" t="s">
        <v>78</v>
      </c>
      <c r="G11" t="s">
        <v>407</v>
      </c>
      <c r="H11" t="s">
        <v>435</v>
      </c>
    </row>
    <row r="22" spans="2:2" x14ac:dyDescent="0.3">
      <c r="B22" s="38" t="s">
        <v>37</v>
      </c>
    </row>
    <row r="23" spans="2:2" x14ac:dyDescent="0.3">
      <c r="B23" s="37" t="s">
        <v>436</v>
      </c>
    </row>
    <row r="24" spans="2:2" x14ac:dyDescent="0.3">
      <c r="B24" s="37" t="s">
        <v>437</v>
      </c>
    </row>
    <row r="25" spans="2:2" x14ac:dyDescent="0.3">
      <c r="B25" s="37" t="s">
        <v>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4.4" x14ac:dyDescent="0.3"/>
  <cols>
    <col min="1" max="1" width="15.21875" customWidth="1"/>
    <col min="2" max="3" width="45" customWidth="1"/>
  </cols>
  <sheetData>
    <row r="1" spans="1:3" ht="23.4" customHeight="1" x14ac:dyDescent="0.45">
      <c r="A1" s="9" t="s">
        <v>439</v>
      </c>
    </row>
    <row r="3" spans="1:3" x14ac:dyDescent="0.3">
      <c r="A3" s="10" t="s">
        <v>440</v>
      </c>
      <c r="B3" s="10" t="s">
        <v>441</v>
      </c>
      <c r="C3" s="10" t="s">
        <v>442</v>
      </c>
    </row>
    <row r="4" spans="1:3" x14ac:dyDescent="0.3">
      <c r="A4" t="s">
        <v>443</v>
      </c>
      <c r="B4" t="s">
        <v>444</v>
      </c>
      <c r="C4" t="s">
        <v>445</v>
      </c>
    </row>
    <row r="5" spans="1:3" x14ac:dyDescent="0.3">
      <c r="A5" t="s">
        <v>446</v>
      </c>
      <c r="B5" t="s">
        <v>447</v>
      </c>
      <c r="C5" t="s">
        <v>448</v>
      </c>
    </row>
    <row r="6" spans="1:3" x14ac:dyDescent="0.3">
      <c r="A6" t="s">
        <v>449</v>
      </c>
      <c r="B6" t="s">
        <v>450</v>
      </c>
      <c r="C6" t="s">
        <v>451</v>
      </c>
    </row>
    <row r="7" spans="1:3" x14ac:dyDescent="0.3">
      <c r="A7" t="s">
        <v>452</v>
      </c>
      <c r="B7" t="s">
        <v>453</v>
      </c>
      <c r="C7" t="s">
        <v>454</v>
      </c>
    </row>
    <row r="8" spans="1:3" x14ac:dyDescent="0.3">
      <c r="A8" t="s">
        <v>455</v>
      </c>
      <c r="B8" t="s">
        <v>456</v>
      </c>
      <c r="C8" t="s">
        <v>457</v>
      </c>
    </row>
    <row r="9" spans="1:3" x14ac:dyDescent="0.3">
      <c r="A9" t="s">
        <v>458</v>
      </c>
      <c r="B9" t="s">
        <v>459</v>
      </c>
      <c r="C9" t="s">
        <v>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"/>
  <sheetViews>
    <sheetView topLeftCell="A4" workbookViewId="0">
      <selection activeCell="B26" sqref="B26"/>
    </sheetView>
  </sheetViews>
  <sheetFormatPr defaultRowHeight="14.4" x14ac:dyDescent="0.3"/>
  <cols>
    <col min="1" max="9" width="24" customWidth="1"/>
  </cols>
  <sheetData>
    <row r="1" spans="1:7" ht="23.4" x14ac:dyDescent="0.45">
      <c r="A1" s="40" t="s">
        <v>461</v>
      </c>
    </row>
    <row r="3" spans="1:7" x14ac:dyDescent="0.3">
      <c r="A3" s="41" t="s">
        <v>462</v>
      </c>
      <c r="B3" s="41" t="s">
        <v>463</v>
      </c>
      <c r="C3" s="41" t="s">
        <v>464</v>
      </c>
      <c r="D3" s="41" t="s">
        <v>465</v>
      </c>
    </row>
    <row r="4" spans="1:7" x14ac:dyDescent="0.3">
      <c r="A4" t="s">
        <v>466</v>
      </c>
      <c r="B4">
        <v>98</v>
      </c>
      <c r="C4">
        <v>96</v>
      </c>
      <c r="D4" t="s">
        <v>467</v>
      </c>
    </row>
    <row r="5" spans="1:7" x14ac:dyDescent="0.3">
      <c r="A5" t="s">
        <v>468</v>
      </c>
      <c r="B5">
        <v>100</v>
      </c>
      <c r="C5">
        <v>95</v>
      </c>
      <c r="D5" t="s">
        <v>78</v>
      </c>
    </row>
    <row r="6" spans="1:7" x14ac:dyDescent="0.3">
      <c r="A6" t="s">
        <v>469</v>
      </c>
      <c r="B6">
        <v>50000</v>
      </c>
      <c r="C6">
        <v>145000</v>
      </c>
      <c r="D6" t="s">
        <v>392</v>
      </c>
    </row>
    <row r="7" spans="1:7" x14ac:dyDescent="0.3">
      <c r="A7" t="s">
        <v>470</v>
      </c>
      <c r="B7">
        <v>5</v>
      </c>
      <c r="C7">
        <v>8</v>
      </c>
      <c r="D7" t="s">
        <v>392</v>
      </c>
    </row>
    <row r="12" spans="1:7" ht="18" x14ac:dyDescent="0.35">
      <c r="A12" s="42" t="s">
        <v>471</v>
      </c>
    </row>
    <row r="14" spans="1:7" x14ac:dyDescent="0.3">
      <c r="A14" s="41" t="s">
        <v>1</v>
      </c>
      <c r="B14" s="41" t="s">
        <v>472</v>
      </c>
      <c r="C14" s="41" t="s">
        <v>473</v>
      </c>
      <c r="D14" s="41" t="s">
        <v>4</v>
      </c>
      <c r="E14" s="41" t="s">
        <v>474</v>
      </c>
      <c r="F14" s="41" t="s">
        <v>5</v>
      </c>
      <c r="G14" s="41" t="s">
        <v>2</v>
      </c>
    </row>
    <row r="15" spans="1:7" x14ac:dyDescent="0.3">
      <c r="A15" t="s">
        <v>475</v>
      </c>
      <c r="B15">
        <v>12</v>
      </c>
      <c r="C15">
        <v>320</v>
      </c>
      <c r="D15">
        <v>1250000</v>
      </c>
      <c r="E15">
        <v>48</v>
      </c>
      <c r="F15">
        <v>12</v>
      </c>
      <c r="G15" s="48" t="s">
        <v>476</v>
      </c>
    </row>
    <row r="16" spans="1:7" x14ac:dyDescent="0.3">
      <c r="A16" t="s">
        <v>477</v>
      </c>
      <c r="B16">
        <v>8</v>
      </c>
      <c r="C16">
        <v>240</v>
      </c>
      <c r="D16">
        <v>980000</v>
      </c>
      <c r="E16">
        <v>35</v>
      </c>
      <c r="F16">
        <v>8</v>
      </c>
      <c r="G16" s="43" t="s">
        <v>476</v>
      </c>
    </row>
    <row r="17" spans="1:7" x14ac:dyDescent="0.3">
      <c r="A17" t="s">
        <v>42</v>
      </c>
      <c r="B17">
        <v>5</v>
      </c>
      <c r="C17">
        <v>120</v>
      </c>
      <c r="D17">
        <v>450000</v>
      </c>
      <c r="E17">
        <v>15</v>
      </c>
      <c r="F17">
        <v>3</v>
      </c>
      <c r="G17" s="44" t="s">
        <v>478</v>
      </c>
    </row>
    <row r="18" spans="1:7" x14ac:dyDescent="0.3">
      <c r="A18" t="s">
        <v>479</v>
      </c>
      <c r="B18">
        <v>4</v>
      </c>
      <c r="C18">
        <v>90</v>
      </c>
      <c r="D18">
        <v>780000</v>
      </c>
      <c r="E18">
        <v>18</v>
      </c>
      <c r="F18">
        <v>5</v>
      </c>
      <c r="G18" s="44" t="s">
        <v>478</v>
      </c>
    </row>
    <row r="19" spans="1:7" x14ac:dyDescent="0.3">
      <c r="A19" t="s">
        <v>480</v>
      </c>
      <c r="B19">
        <v>10</v>
      </c>
      <c r="C19">
        <v>150</v>
      </c>
      <c r="D19">
        <v>220000</v>
      </c>
      <c r="E19">
        <v>5</v>
      </c>
      <c r="F19">
        <v>1</v>
      </c>
      <c r="G19" s="45" t="s">
        <v>481</v>
      </c>
    </row>
    <row r="25" spans="1:7" x14ac:dyDescent="0.3">
      <c r="A25" t="s">
        <v>2</v>
      </c>
      <c r="B25" t="s">
        <v>482</v>
      </c>
    </row>
    <row r="26" spans="1:7" x14ac:dyDescent="0.3">
      <c r="A26" t="s">
        <v>483</v>
      </c>
      <c r="B26">
        <v>2</v>
      </c>
    </row>
    <row r="27" spans="1:7" x14ac:dyDescent="0.3">
      <c r="A27" t="s">
        <v>484</v>
      </c>
      <c r="B27">
        <v>2</v>
      </c>
    </row>
    <row r="28" spans="1:7" x14ac:dyDescent="0.3">
      <c r="A28" t="s">
        <v>485</v>
      </c>
      <c r="B28">
        <v>1</v>
      </c>
    </row>
    <row r="40" spans="1:1" ht="18" x14ac:dyDescent="0.35">
      <c r="A40" s="42" t="s">
        <v>486</v>
      </c>
    </row>
    <row r="42" spans="1:1" x14ac:dyDescent="0.3">
      <c r="A42" t="s">
        <v>487</v>
      </c>
    </row>
    <row r="43" spans="1:1" x14ac:dyDescent="0.3">
      <c r="A43" t="s">
        <v>488</v>
      </c>
    </row>
    <row r="44" spans="1:1" x14ac:dyDescent="0.3">
      <c r="A44" t="s">
        <v>489</v>
      </c>
    </row>
    <row r="45" spans="1:1" x14ac:dyDescent="0.3">
      <c r="A45" t="s">
        <v>490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Master Data</vt:lpstr>
      <vt:lpstr>Stock In Log</vt:lpstr>
      <vt:lpstr>Stock Out Log</vt:lpstr>
      <vt:lpstr>Improvement_Recom</vt:lpstr>
      <vt:lpstr>Presentation_Guide</vt:lpstr>
      <vt:lpstr>Executive_Dashboard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Kiattisak Chairuamkul</cp:lastModifiedBy>
  <dcterms:created xsi:type="dcterms:W3CDTF">2026-05-24T15:17:42Z</dcterms:created>
  <dcterms:modified xsi:type="dcterms:W3CDTF">2026-06-02T02:31:56Z</dcterms:modified>
</cp:coreProperties>
</file>